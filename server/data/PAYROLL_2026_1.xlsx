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johns\my doc\"/>
    </mc:Choice>
  </mc:AlternateContent>
  <xr:revisionPtr revIDLastSave="0" documentId="13_ncr:1_{E29C6637-78B3-4679-9E2A-D2A1FB261F22}" xr6:coauthVersionLast="47" xr6:coauthVersionMax="47" xr10:uidLastSave="{00000000-0000-0000-0000-000000000000}"/>
  <bookViews>
    <workbookView xWindow="-120" yWindow="-120" windowWidth="29040" windowHeight="15840" xr2:uid="{93CD705C-EC29-4961-9800-2BFB0B8155D7}"/>
  </bookViews>
  <sheets>
    <sheet name="JAN 2026" sheetId="1" r:id="rId1"/>
    <sheet name="FEB 2026" sheetId="2" r:id="rId2"/>
    <sheet name="MARCH2026" sheetId="3" r:id="rId3"/>
    <sheet name="APRIL2026" sheetId="4" r:id="rId4"/>
    <sheet name="MAY2026" sheetId="5" r:id="rId5"/>
    <sheet name="JUNE 2026" sheetId="6" r:id="rId6"/>
    <sheet name="JULY 2026" sheetId="7" r:id="rId7"/>
    <sheet name="AUGUST 2026" sheetId="8" r:id="rId8"/>
    <sheet name="SEPTEMBER 202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" i="1" l="1"/>
  <c r="AE5" i="1"/>
  <c r="L9" i="9"/>
  <c r="L16" i="9"/>
  <c r="L6" i="9"/>
  <c r="I35" i="9" l="1"/>
  <c r="H40" i="9"/>
  <c r="E42" i="9"/>
  <c r="E40" i="9"/>
  <c r="L55" i="9"/>
  <c r="H11" i="9" l="1"/>
  <c r="H39" i="9"/>
  <c r="H7" i="9"/>
  <c r="H17" i="9"/>
  <c r="H5" i="9"/>
  <c r="H51" i="9"/>
  <c r="H38" i="9"/>
  <c r="H49" i="9"/>
  <c r="H45" i="9"/>
  <c r="H34" i="9"/>
  <c r="F55" i="9"/>
  <c r="G55" i="9"/>
  <c r="E44" i="9"/>
  <c r="E49" i="9"/>
  <c r="E52" i="9"/>
  <c r="E38" i="9"/>
  <c r="F29" i="9"/>
  <c r="E41" i="9"/>
  <c r="E29" i="9"/>
  <c r="E17" i="9"/>
  <c r="E37" i="9"/>
  <c r="E51" i="9"/>
  <c r="E11" i="9"/>
  <c r="E55" i="9" s="1"/>
  <c r="E14" i="9"/>
  <c r="E15" i="9"/>
  <c r="E16" i="9"/>
  <c r="E31" i="9"/>
  <c r="E26" i="9"/>
  <c r="E25" i="9"/>
  <c r="H55" i="9" l="1"/>
  <c r="P78" i="9" l="1"/>
  <c r="Q78" i="9"/>
  <c r="O78" i="9"/>
  <c r="P69" i="9"/>
  <c r="Q69" i="9"/>
  <c r="O69" i="9"/>
  <c r="Q63" i="9"/>
  <c r="P63" i="9"/>
  <c r="O63" i="9"/>
  <c r="P55" i="9"/>
  <c r="Q55" i="9"/>
  <c r="Q80" i="9" s="1"/>
  <c r="O55" i="9"/>
  <c r="I71" i="9"/>
  <c r="R78" i="9"/>
  <c r="N78" i="9"/>
  <c r="L78" i="9"/>
  <c r="J78" i="9"/>
  <c r="I77" i="9"/>
  <c r="I76" i="9"/>
  <c r="I75" i="9"/>
  <c r="M75" i="9" s="1"/>
  <c r="S75" i="9" s="1"/>
  <c r="I74" i="9"/>
  <c r="M74" i="9" s="1"/>
  <c r="R69" i="9"/>
  <c r="N69" i="9"/>
  <c r="L69" i="9"/>
  <c r="J69" i="9"/>
  <c r="I69" i="9"/>
  <c r="I68" i="9"/>
  <c r="I67" i="9"/>
  <c r="M67" i="9" s="1"/>
  <c r="S67" i="9" s="1"/>
  <c r="I66" i="9"/>
  <c r="R63" i="9"/>
  <c r="N63" i="9"/>
  <c r="L63" i="9"/>
  <c r="J63" i="9"/>
  <c r="I63" i="9"/>
  <c r="I62" i="9"/>
  <c r="I61" i="9"/>
  <c r="I60" i="9"/>
  <c r="I59" i="9"/>
  <c r="M59" i="9" s="1"/>
  <c r="S59" i="9" s="1"/>
  <c r="I58" i="9"/>
  <c r="R55" i="9"/>
  <c r="J55" i="9"/>
  <c r="I54" i="9"/>
  <c r="M54" i="9" s="1"/>
  <c r="S54" i="9" s="1"/>
  <c r="I53" i="9"/>
  <c r="M53" i="9" s="1"/>
  <c r="S53" i="9" s="1"/>
  <c r="I52" i="9"/>
  <c r="I51" i="9"/>
  <c r="I50" i="9"/>
  <c r="I49" i="9"/>
  <c r="I48" i="9"/>
  <c r="I47" i="9"/>
  <c r="I46" i="9"/>
  <c r="M46" i="9" s="1"/>
  <c r="S46" i="9" s="1"/>
  <c r="I45" i="9"/>
  <c r="I44" i="9"/>
  <c r="I43" i="9"/>
  <c r="I42" i="9"/>
  <c r="I41" i="9"/>
  <c r="I40" i="9"/>
  <c r="I39" i="9"/>
  <c r="I38" i="9"/>
  <c r="I37" i="9"/>
  <c r="I36" i="9"/>
  <c r="I34" i="9"/>
  <c r="I33" i="9"/>
  <c r="M33" i="9" s="1"/>
  <c r="S33" i="9" s="1"/>
  <c r="I32" i="9"/>
  <c r="I31" i="9"/>
  <c r="I30" i="9"/>
  <c r="I29" i="9"/>
  <c r="I28" i="9"/>
  <c r="I27" i="9"/>
  <c r="I26" i="9"/>
  <c r="I25" i="9"/>
  <c r="I24" i="9"/>
  <c r="M24" i="9" s="1"/>
  <c r="S24" i="9" s="1"/>
  <c r="I23" i="9"/>
  <c r="I22" i="9"/>
  <c r="I21" i="9"/>
  <c r="I20" i="9"/>
  <c r="I19" i="9"/>
  <c r="I18" i="9"/>
  <c r="M18" i="9" s="1"/>
  <c r="S18" i="9" s="1"/>
  <c r="I17" i="9"/>
  <c r="I16" i="9"/>
  <c r="I15" i="9"/>
  <c r="I14" i="9"/>
  <c r="I13" i="9"/>
  <c r="I12" i="9"/>
  <c r="I11" i="9"/>
  <c r="I10" i="9"/>
  <c r="I9" i="9"/>
  <c r="M9" i="9" s="1"/>
  <c r="S9" i="9" s="1"/>
  <c r="I8" i="9"/>
  <c r="I7" i="9"/>
  <c r="N55" i="9"/>
  <c r="I5" i="9"/>
  <c r="M23" i="9" l="1"/>
  <c r="S23" i="9" s="1"/>
  <c r="M27" i="9"/>
  <c r="S27" i="9" s="1"/>
  <c r="M31" i="9"/>
  <c r="S31" i="9" s="1"/>
  <c r="M36" i="9"/>
  <c r="S36" i="9" s="1"/>
  <c r="M44" i="9"/>
  <c r="S44" i="9" s="1"/>
  <c r="M48" i="9"/>
  <c r="S48" i="9" s="1"/>
  <c r="M52" i="9"/>
  <c r="S52" i="9" s="1"/>
  <c r="M61" i="9"/>
  <c r="S61" i="9" s="1"/>
  <c r="M32" i="9"/>
  <c r="S32" i="9" s="1"/>
  <c r="M37" i="9"/>
  <c r="S37" i="9" s="1"/>
  <c r="M41" i="9"/>
  <c r="S41" i="9" s="1"/>
  <c r="M45" i="9"/>
  <c r="S45" i="9" s="1"/>
  <c r="M49" i="9"/>
  <c r="S49" i="9" s="1"/>
  <c r="M58" i="9"/>
  <c r="M62" i="9"/>
  <c r="S62" i="9" s="1"/>
  <c r="M68" i="9"/>
  <c r="M25" i="9"/>
  <c r="S25" i="9" s="1"/>
  <c r="M29" i="9"/>
  <c r="S29" i="9" s="1"/>
  <c r="M38" i="9"/>
  <c r="S38" i="9" s="1"/>
  <c r="M50" i="9"/>
  <c r="S50" i="9" s="1"/>
  <c r="M77" i="9"/>
  <c r="S77" i="9" s="1"/>
  <c r="P80" i="9"/>
  <c r="M22" i="9"/>
  <c r="S22" i="9" s="1"/>
  <c r="M26" i="9"/>
  <c r="S26" i="9" s="1"/>
  <c r="M34" i="9"/>
  <c r="S34" i="9" s="1"/>
  <c r="M39" i="9"/>
  <c r="S39" i="9" s="1"/>
  <c r="S43" i="9"/>
  <c r="M43" i="9"/>
  <c r="M47" i="9"/>
  <c r="S47" i="9" s="1"/>
  <c r="S51" i="9"/>
  <c r="M51" i="9"/>
  <c r="M60" i="9"/>
  <c r="S60" i="9" s="1"/>
  <c r="M66" i="9"/>
  <c r="S66" i="9" s="1"/>
  <c r="M71" i="9"/>
  <c r="S71" i="9" s="1"/>
  <c r="M20" i="9"/>
  <c r="S20" i="9" s="1"/>
  <c r="M17" i="9"/>
  <c r="S17" i="9" s="1"/>
  <c r="M21" i="9"/>
  <c r="S21" i="9" s="1"/>
  <c r="M19" i="9"/>
  <c r="S19" i="9" s="1"/>
  <c r="M10" i="9"/>
  <c r="S10" i="9" s="1"/>
  <c r="M11" i="9"/>
  <c r="S11" i="9" s="1"/>
  <c r="M15" i="9"/>
  <c r="S15" i="9" s="1"/>
  <c r="M8" i="9"/>
  <c r="S8" i="9" s="1"/>
  <c r="M12" i="9"/>
  <c r="S12" i="9" s="1"/>
  <c r="M16" i="9"/>
  <c r="S16" i="9" s="1"/>
  <c r="M5" i="9"/>
  <c r="S5" i="9" s="1"/>
  <c r="M13" i="9"/>
  <c r="S13" i="9" s="1"/>
  <c r="O80" i="9"/>
  <c r="M14" i="9"/>
  <c r="S14" i="9" s="1"/>
  <c r="M76" i="9"/>
  <c r="S76" i="9" s="1"/>
  <c r="M7" i="9"/>
  <c r="S7" i="9" s="1"/>
  <c r="M40" i="9"/>
  <c r="S40" i="9" s="1"/>
  <c r="M42" i="9"/>
  <c r="S42" i="9" s="1"/>
  <c r="M30" i="9"/>
  <c r="S30" i="9" s="1"/>
  <c r="M35" i="9"/>
  <c r="S35" i="9" s="1"/>
  <c r="M28" i="9"/>
  <c r="S28" i="9" s="1"/>
  <c r="J80" i="9"/>
  <c r="R80" i="9"/>
  <c r="N80" i="9"/>
  <c r="L80" i="9"/>
  <c r="I78" i="9"/>
  <c r="S74" i="9"/>
  <c r="I6" i="9"/>
  <c r="M69" i="9" l="1"/>
  <c r="M63" i="9"/>
  <c r="S78" i="9"/>
  <c r="S68" i="9"/>
  <c r="S69" i="9" s="1"/>
  <c r="S58" i="9"/>
  <c r="S63" i="9" s="1"/>
  <c r="M6" i="9"/>
  <c r="S6" i="9" s="1"/>
  <c r="S55" i="9" s="1"/>
  <c r="M78" i="9"/>
  <c r="I55" i="9"/>
  <c r="S80" i="9" l="1"/>
  <c r="M55" i="9"/>
  <c r="M80" i="9" s="1"/>
  <c r="L49" i="5" l="1"/>
  <c r="M49" i="5"/>
  <c r="N49" i="5"/>
  <c r="O49" i="5"/>
  <c r="P49" i="5"/>
  <c r="Q49" i="5"/>
  <c r="R49" i="5"/>
  <c r="L73" i="5"/>
  <c r="M73" i="5"/>
  <c r="N73" i="5"/>
  <c r="O73" i="5"/>
  <c r="P73" i="5"/>
  <c r="Q73" i="5"/>
  <c r="R73" i="5"/>
  <c r="K16" i="8" l="1"/>
  <c r="E26" i="8"/>
  <c r="K9" i="8"/>
  <c r="G26" i="8" l="1"/>
  <c r="G15" i="8"/>
  <c r="G16" i="8"/>
  <c r="K57" i="8"/>
  <c r="J57" i="8"/>
  <c r="N57" i="8"/>
  <c r="O57" i="8"/>
  <c r="M5" i="8"/>
  <c r="M16" i="8"/>
  <c r="M13" i="8"/>
  <c r="M34" i="8"/>
  <c r="E57" i="8" l="1"/>
  <c r="F57" i="8"/>
  <c r="G57" i="8"/>
  <c r="H57" i="8"/>
  <c r="W50" i="4"/>
  <c r="O80" i="8"/>
  <c r="O71" i="8"/>
  <c r="N71" i="8"/>
  <c r="O65" i="8"/>
  <c r="H36" i="8"/>
  <c r="H47" i="8"/>
  <c r="H6" i="8"/>
  <c r="I6" i="8" s="1"/>
  <c r="L6" i="8" s="1"/>
  <c r="P6" i="8" s="1"/>
  <c r="I43" i="8"/>
  <c r="L43" i="8" s="1"/>
  <c r="P43" i="8" s="1"/>
  <c r="G41" i="8"/>
  <c r="F41" i="8"/>
  <c r="F29" i="8"/>
  <c r="I36" i="8"/>
  <c r="L36" i="8" s="1"/>
  <c r="P36" i="8" s="1"/>
  <c r="F31" i="8"/>
  <c r="I31" i="8" s="1"/>
  <c r="L31" i="8" s="1"/>
  <c r="P31" i="8" s="1"/>
  <c r="H12" i="8"/>
  <c r="H17" i="8"/>
  <c r="H44" i="8"/>
  <c r="I44" i="8" s="1"/>
  <c r="L44" i="8" s="1"/>
  <c r="P44" i="8" s="1"/>
  <c r="H40" i="8"/>
  <c r="H30" i="8"/>
  <c r="H38" i="8"/>
  <c r="G12" i="8"/>
  <c r="I8" i="8"/>
  <c r="L8" i="8" s="1"/>
  <c r="P8" i="8" s="1"/>
  <c r="I9" i="8"/>
  <c r="L9" i="8" s="1"/>
  <c r="P9" i="8" s="1"/>
  <c r="I10" i="8"/>
  <c r="L10" i="8" s="1"/>
  <c r="P10" i="8" s="1"/>
  <c r="I13" i="8"/>
  <c r="L13" i="8" s="1"/>
  <c r="P13" i="8" s="1"/>
  <c r="I18" i="8"/>
  <c r="L18" i="8" s="1"/>
  <c r="P18" i="8" s="1"/>
  <c r="I19" i="8"/>
  <c r="L19" i="8" s="1"/>
  <c r="P19" i="8" s="1"/>
  <c r="I20" i="8"/>
  <c r="L20" i="8" s="1"/>
  <c r="P20" i="8" s="1"/>
  <c r="I21" i="8"/>
  <c r="L21" i="8" s="1"/>
  <c r="P21" i="8" s="1"/>
  <c r="I23" i="8"/>
  <c r="L23" i="8" s="1"/>
  <c r="P23" i="8" s="1"/>
  <c r="I24" i="8"/>
  <c r="L24" i="8" s="1"/>
  <c r="P24" i="8" s="1"/>
  <c r="I27" i="8"/>
  <c r="L27" i="8" s="1"/>
  <c r="P27" i="8" s="1"/>
  <c r="I28" i="8"/>
  <c r="L28" i="8" s="1"/>
  <c r="P28" i="8" s="1"/>
  <c r="I33" i="8"/>
  <c r="L33" i="8" s="1"/>
  <c r="P33" i="8" s="1"/>
  <c r="I34" i="8"/>
  <c r="L34" i="8" s="1"/>
  <c r="P34" i="8" s="1"/>
  <c r="I35" i="8"/>
  <c r="L35" i="8" s="1"/>
  <c r="P35" i="8" s="1"/>
  <c r="I37" i="8"/>
  <c r="L37" i="8" s="1"/>
  <c r="P37" i="8" s="1"/>
  <c r="I38" i="8"/>
  <c r="L38" i="8" s="1"/>
  <c r="P38" i="8" s="1"/>
  <c r="I42" i="8"/>
  <c r="L42" i="8" s="1"/>
  <c r="P42" i="8" s="1"/>
  <c r="I46" i="8"/>
  <c r="L46" i="8" s="1"/>
  <c r="P46" i="8" s="1"/>
  <c r="I47" i="8"/>
  <c r="L47" i="8" s="1"/>
  <c r="P47" i="8" s="1"/>
  <c r="I49" i="8"/>
  <c r="L49" i="8" s="1"/>
  <c r="P49" i="8" s="1"/>
  <c r="I50" i="8"/>
  <c r="L50" i="8" s="1"/>
  <c r="P50" i="8" s="1"/>
  <c r="I52" i="8"/>
  <c r="L52" i="8" s="1"/>
  <c r="P52" i="8" s="1"/>
  <c r="I53" i="8"/>
  <c r="L53" i="8" s="1"/>
  <c r="P53" i="8" s="1"/>
  <c r="I54" i="8"/>
  <c r="L54" i="8" s="1"/>
  <c r="P54" i="8" s="1"/>
  <c r="I55" i="8"/>
  <c r="L55" i="8" s="1"/>
  <c r="P55" i="8" s="1"/>
  <c r="I56" i="8"/>
  <c r="L56" i="8" s="1"/>
  <c r="P56" i="8" s="1"/>
  <c r="I5" i="8"/>
  <c r="L5" i="8" s="1"/>
  <c r="P5" i="8" s="1"/>
  <c r="H51" i="8"/>
  <c r="H39" i="8"/>
  <c r="H15" i="8"/>
  <c r="H16" i="8"/>
  <c r="H32" i="8"/>
  <c r="H26" i="8"/>
  <c r="H11" i="8"/>
  <c r="I11" i="8" s="1"/>
  <c r="L11" i="8" s="1"/>
  <c r="P11" i="8" s="1"/>
  <c r="H45" i="8"/>
  <c r="H25" i="8"/>
  <c r="G51" i="8"/>
  <c r="G39" i="8"/>
  <c r="G32" i="8"/>
  <c r="O82" i="8" l="1"/>
  <c r="I29" i="8"/>
  <c r="L29" i="8" s="1"/>
  <c r="P29" i="8" s="1"/>
  <c r="G77" i="8" l="1"/>
  <c r="G14" i="8"/>
  <c r="I68" i="8"/>
  <c r="I73" i="8"/>
  <c r="F30" i="8"/>
  <c r="I30" i="8" s="1"/>
  <c r="L30" i="8" s="1"/>
  <c r="P30" i="8" s="1"/>
  <c r="F17" i="8"/>
  <c r="E45" i="8"/>
  <c r="I45" i="8" s="1"/>
  <c r="L45" i="8" s="1"/>
  <c r="P45" i="8" s="1"/>
  <c r="E16" i="8"/>
  <c r="I16" i="8" s="1"/>
  <c r="L16" i="8" s="1"/>
  <c r="P16" i="8" s="1"/>
  <c r="I26" i="8"/>
  <c r="L26" i="8" s="1"/>
  <c r="P26" i="8" s="1"/>
  <c r="E51" i="8"/>
  <c r="I51" i="8" s="1"/>
  <c r="L51" i="8" s="1"/>
  <c r="P51" i="8" s="1"/>
  <c r="E39" i="8"/>
  <c r="I39" i="8" s="1"/>
  <c r="L39" i="8" s="1"/>
  <c r="P39" i="8" s="1"/>
  <c r="E25" i="8"/>
  <c r="I25" i="8" s="1"/>
  <c r="L25" i="8" s="1"/>
  <c r="P25" i="8" s="1"/>
  <c r="E12" i="8"/>
  <c r="I12" i="8" s="1"/>
  <c r="L12" i="8" s="1"/>
  <c r="P12" i="8" s="1"/>
  <c r="E17" i="8"/>
  <c r="I17" i="8" s="1"/>
  <c r="L17" i="8" s="1"/>
  <c r="P17" i="8" s="1"/>
  <c r="E41" i="8"/>
  <c r="I41" i="8" s="1"/>
  <c r="L41" i="8" s="1"/>
  <c r="P41" i="8" s="1"/>
  <c r="E14" i="8"/>
  <c r="E32" i="8"/>
  <c r="I32" i="8" s="1"/>
  <c r="L32" i="8" s="1"/>
  <c r="P32" i="8" s="1"/>
  <c r="E15" i="8"/>
  <c r="I15" i="8" s="1"/>
  <c r="L15" i="8" s="1"/>
  <c r="P15" i="8" s="1"/>
  <c r="E48" i="8"/>
  <c r="I48" i="8" s="1"/>
  <c r="L48" i="8" s="1"/>
  <c r="P48" i="8" s="1"/>
  <c r="E7" i="8"/>
  <c r="I7" i="8" s="1"/>
  <c r="L7" i="8" s="1"/>
  <c r="P7" i="8" s="1"/>
  <c r="E40" i="8"/>
  <c r="I40" i="8" s="1"/>
  <c r="L40" i="8" s="1"/>
  <c r="P40" i="8" s="1"/>
  <c r="E22" i="8"/>
  <c r="I22" i="8" s="1"/>
  <c r="L22" i="8" s="1"/>
  <c r="P22" i="8" s="1"/>
  <c r="I14" i="8" l="1"/>
  <c r="L14" i="8" s="1"/>
  <c r="P14" i="8" s="1"/>
  <c r="P57" i="8" s="1"/>
  <c r="N80" i="8" l="1"/>
  <c r="M80" i="8"/>
  <c r="K80" i="8"/>
  <c r="J80" i="8"/>
  <c r="I79" i="8"/>
  <c r="L79" i="8" s="1"/>
  <c r="P79" i="8" s="1"/>
  <c r="I78" i="8"/>
  <c r="L78" i="8" s="1"/>
  <c r="P78" i="8" s="1"/>
  <c r="I77" i="8"/>
  <c r="L77" i="8" s="1"/>
  <c r="P77" i="8" s="1"/>
  <c r="I76" i="8"/>
  <c r="L73" i="8"/>
  <c r="P73" i="8" s="1"/>
  <c r="M71" i="8"/>
  <c r="K71" i="8"/>
  <c r="J71" i="8"/>
  <c r="I71" i="8"/>
  <c r="I70" i="8"/>
  <c r="L70" i="8" s="1"/>
  <c r="P70" i="8" s="1"/>
  <c r="I69" i="8"/>
  <c r="L69" i="8" s="1"/>
  <c r="P69" i="8" s="1"/>
  <c r="L68" i="8"/>
  <c r="P68" i="8" s="1"/>
  <c r="N65" i="8"/>
  <c r="N82" i="8" s="1"/>
  <c r="M65" i="8"/>
  <c r="K65" i="8"/>
  <c r="K82" i="8" s="1"/>
  <c r="J65" i="8"/>
  <c r="J82" i="8" s="1"/>
  <c r="I65" i="8"/>
  <c r="I64" i="8"/>
  <c r="L64" i="8" s="1"/>
  <c r="P64" i="8" s="1"/>
  <c r="I63" i="8"/>
  <c r="L63" i="8" s="1"/>
  <c r="P63" i="8" s="1"/>
  <c r="I62" i="8"/>
  <c r="L62" i="8" s="1"/>
  <c r="P62" i="8" s="1"/>
  <c r="I61" i="8"/>
  <c r="L61" i="8" s="1"/>
  <c r="P61" i="8" s="1"/>
  <c r="I60" i="8"/>
  <c r="L60" i="8" s="1"/>
  <c r="P60" i="8" s="1"/>
  <c r="K16" i="7"/>
  <c r="P71" i="8" l="1"/>
  <c r="P65" i="8"/>
  <c r="I57" i="8"/>
  <c r="I80" i="8"/>
  <c r="L76" i="8"/>
  <c r="M57" i="8"/>
  <c r="M82" i="8" s="1"/>
  <c r="L65" i="8"/>
  <c r="L71" i="8"/>
  <c r="M37" i="7"/>
  <c r="L52" i="7"/>
  <c r="O52" i="7" s="1"/>
  <c r="N55" i="7"/>
  <c r="J55" i="7"/>
  <c r="I36" i="7"/>
  <c r="L36" i="7" s="1"/>
  <c r="N63" i="7"/>
  <c r="N69" i="7"/>
  <c r="M25" i="7"/>
  <c r="M26" i="7"/>
  <c r="M16" i="7"/>
  <c r="K9" i="7"/>
  <c r="K55" i="7" s="1"/>
  <c r="L80" i="8" l="1"/>
  <c r="P76" i="8"/>
  <c r="P80" i="8" s="1"/>
  <c r="P82" i="8" s="1"/>
  <c r="L57" i="8"/>
  <c r="M55" i="7"/>
  <c r="L82" i="8" l="1"/>
  <c r="N78" i="7"/>
  <c r="N80" i="7" s="1"/>
  <c r="I69" i="7"/>
  <c r="I75" i="7"/>
  <c r="I76" i="7"/>
  <c r="I77" i="7"/>
  <c r="I74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L50" i="7" s="1"/>
  <c r="O50" i="7" s="1"/>
  <c r="I51" i="7"/>
  <c r="L51" i="7" s="1"/>
  <c r="O51" i="7" s="1"/>
  <c r="I53" i="7"/>
  <c r="L53" i="7" s="1"/>
  <c r="O53" i="7" s="1"/>
  <c r="I54" i="7"/>
  <c r="I5" i="7"/>
  <c r="I78" i="7" l="1"/>
  <c r="I55" i="7"/>
  <c r="M78" i="7"/>
  <c r="K78" i="7"/>
  <c r="J78" i="7"/>
  <c r="L77" i="7"/>
  <c r="O77" i="7" s="1"/>
  <c r="L76" i="7"/>
  <c r="O76" i="7" s="1"/>
  <c r="L75" i="7"/>
  <c r="O75" i="7" s="1"/>
  <c r="I71" i="7"/>
  <c r="L71" i="7" s="1"/>
  <c r="O71" i="7" s="1"/>
  <c r="M69" i="7"/>
  <c r="K69" i="7"/>
  <c r="J69" i="7"/>
  <c r="I68" i="7"/>
  <c r="L68" i="7" s="1"/>
  <c r="O68" i="7" s="1"/>
  <c r="I67" i="7"/>
  <c r="L67" i="7" s="1"/>
  <c r="O67" i="7" s="1"/>
  <c r="I66" i="7"/>
  <c r="L66" i="7" s="1"/>
  <c r="M63" i="7"/>
  <c r="K63" i="7"/>
  <c r="J63" i="7"/>
  <c r="I63" i="7"/>
  <c r="I62" i="7"/>
  <c r="L62" i="7" s="1"/>
  <c r="O62" i="7" s="1"/>
  <c r="I61" i="7"/>
  <c r="L61" i="7" s="1"/>
  <c r="O61" i="7" s="1"/>
  <c r="I60" i="7"/>
  <c r="L60" i="7" s="1"/>
  <c r="O60" i="7" s="1"/>
  <c r="I59" i="7"/>
  <c r="L59" i="7" s="1"/>
  <c r="O59" i="7" s="1"/>
  <c r="I58" i="7"/>
  <c r="L58" i="7" s="1"/>
  <c r="L54" i="7"/>
  <c r="O54" i="7" s="1"/>
  <c r="L49" i="7"/>
  <c r="O49" i="7" s="1"/>
  <c r="L48" i="7"/>
  <c r="O48" i="7" s="1"/>
  <c r="L47" i="7"/>
  <c r="O47" i="7" s="1"/>
  <c r="L46" i="7"/>
  <c r="O46" i="7" s="1"/>
  <c r="L45" i="7"/>
  <c r="O45" i="7" s="1"/>
  <c r="L44" i="7"/>
  <c r="O44" i="7" s="1"/>
  <c r="L43" i="7"/>
  <c r="O43" i="7" s="1"/>
  <c r="L42" i="7"/>
  <c r="O42" i="7" s="1"/>
  <c r="L41" i="7"/>
  <c r="O41" i="7" s="1"/>
  <c r="L40" i="7"/>
  <c r="O40" i="7" s="1"/>
  <c r="L39" i="7"/>
  <c r="O39" i="7" s="1"/>
  <c r="L38" i="7"/>
  <c r="O38" i="7" s="1"/>
  <c r="L37" i="7"/>
  <c r="O37" i="7" s="1"/>
  <c r="O36" i="7"/>
  <c r="L35" i="7"/>
  <c r="O35" i="7" s="1"/>
  <c r="L34" i="7"/>
  <c r="O34" i="7" s="1"/>
  <c r="L33" i="7"/>
  <c r="O33" i="7" s="1"/>
  <c r="L32" i="7"/>
  <c r="O32" i="7" s="1"/>
  <c r="L31" i="7"/>
  <c r="O31" i="7" s="1"/>
  <c r="L30" i="7"/>
  <c r="O30" i="7" s="1"/>
  <c r="L29" i="7"/>
  <c r="O29" i="7" s="1"/>
  <c r="L28" i="7"/>
  <c r="O28" i="7" s="1"/>
  <c r="L27" i="7"/>
  <c r="O27" i="7" s="1"/>
  <c r="L26" i="7"/>
  <c r="O26" i="7" s="1"/>
  <c r="L25" i="7"/>
  <c r="O25" i="7" s="1"/>
  <c r="L24" i="7"/>
  <c r="O24" i="7" s="1"/>
  <c r="L23" i="7"/>
  <c r="O23" i="7" s="1"/>
  <c r="L22" i="7"/>
  <c r="O22" i="7" s="1"/>
  <c r="L21" i="7"/>
  <c r="O21" i="7" s="1"/>
  <c r="L20" i="7"/>
  <c r="O20" i="7" s="1"/>
  <c r="L19" i="7"/>
  <c r="O19" i="7" s="1"/>
  <c r="L18" i="7"/>
  <c r="O18" i="7" s="1"/>
  <c r="L17" i="7"/>
  <c r="O17" i="7" s="1"/>
  <c r="L16" i="7"/>
  <c r="O16" i="7" s="1"/>
  <c r="L15" i="7"/>
  <c r="O15" i="7" s="1"/>
  <c r="L14" i="7"/>
  <c r="O14" i="7" s="1"/>
  <c r="L13" i="7"/>
  <c r="O13" i="7" s="1"/>
  <c r="L12" i="7"/>
  <c r="O12" i="7" s="1"/>
  <c r="L11" i="7"/>
  <c r="O11" i="7" s="1"/>
  <c r="L10" i="7"/>
  <c r="O10" i="7" s="1"/>
  <c r="L9" i="7"/>
  <c r="O9" i="7" s="1"/>
  <c r="L8" i="7"/>
  <c r="O8" i="7" s="1"/>
  <c r="L7" i="7"/>
  <c r="O7" i="7" s="1"/>
  <c r="L6" i="7"/>
  <c r="O6" i="7" s="1"/>
  <c r="L5" i="7"/>
  <c r="V60" i="6"/>
  <c r="U60" i="6"/>
  <c r="T55" i="6"/>
  <c r="W55" i="6" s="1"/>
  <c r="R60" i="6"/>
  <c r="Q56" i="6"/>
  <c r="T56" i="6" s="1"/>
  <c r="Q57" i="6"/>
  <c r="T57" i="6" s="1"/>
  <c r="W57" i="6" s="1"/>
  <c r="Q58" i="6"/>
  <c r="T58" i="6" s="1"/>
  <c r="W58" i="6" s="1"/>
  <c r="Q59" i="6"/>
  <c r="T59" i="6" s="1"/>
  <c r="W59" i="6" s="1"/>
  <c r="Q60" i="6"/>
  <c r="Q55" i="6"/>
  <c r="Q5" i="6"/>
  <c r="T5" i="6" s="1"/>
  <c r="W5" i="6" s="1"/>
  <c r="Q6" i="6"/>
  <c r="T6" i="6" s="1"/>
  <c r="W6" i="6" s="1"/>
  <c r="Q7" i="6"/>
  <c r="T7" i="6" s="1"/>
  <c r="W7" i="6" s="1"/>
  <c r="Q8" i="6"/>
  <c r="T8" i="6" s="1"/>
  <c r="W8" i="6" s="1"/>
  <c r="Q9" i="6"/>
  <c r="T9" i="6" s="1"/>
  <c r="W9" i="6" s="1"/>
  <c r="Q10" i="6"/>
  <c r="T10" i="6" s="1"/>
  <c r="W10" i="6" s="1"/>
  <c r="Q11" i="6"/>
  <c r="T11" i="6" s="1"/>
  <c r="W11" i="6" s="1"/>
  <c r="Q12" i="6"/>
  <c r="T12" i="6" s="1"/>
  <c r="W12" i="6" s="1"/>
  <c r="Q13" i="6"/>
  <c r="T13" i="6" s="1"/>
  <c r="W13" i="6" s="1"/>
  <c r="Q14" i="6"/>
  <c r="T14" i="6" s="1"/>
  <c r="W14" i="6" s="1"/>
  <c r="Q15" i="6"/>
  <c r="T15" i="6" s="1"/>
  <c r="W15" i="6" s="1"/>
  <c r="Q16" i="6"/>
  <c r="T16" i="6" s="1"/>
  <c r="W16" i="6" s="1"/>
  <c r="Q17" i="6"/>
  <c r="T17" i="6" s="1"/>
  <c r="W17" i="6" s="1"/>
  <c r="Q18" i="6"/>
  <c r="T18" i="6" s="1"/>
  <c r="W18" i="6" s="1"/>
  <c r="Q19" i="6"/>
  <c r="T19" i="6" s="1"/>
  <c r="W19" i="6" s="1"/>
  <c r="Q20" i="6"/>
  <c r="T20" i="6" s="1"/>
  <c r="W20" i="6" s="1"/>
  <c r="Q21" i="6"/>
  <c r="T21" i="6" s="1"/>
  <c r="W21" i="6" s="1"/>
  <c r="Q22" i="6"/>
  <c r="T22" i="6" s="1"/>
  <c r="W22" i="6" s="1"/>
  <c r="Q23" i="6"/>
  <c r="T23" i="6" s="1"/>
  <c r="W23" i="6" s="1"/>
  <c r="Q24" i="6"/>
  <c r="T24" i="6" s="1"/>
  <c r="W24" i="6" s="1"/>
  <c r="Q25" i="6"/>
  <c r="T25" i="6" s="1"/>
  <c r="W25" i="6" s="1"/>
  <c r="Q26" i="6"/>
  <c r="T26" i="6" s="1"/>
  <c r="W26" i="6" s="1"/>
  <c r="Q27" i="6"/>
  <c r="T27" i="6" s="1"/>
  <c r="W27" i="6" s="1"/>
  <c r="Q28" i="6"/>
  <c r="T28" i="6" s="1"/>
  <c r="W28" i="6" s="1"/>
  <c r="Q29" i="6"/>
  <c r="T29" i="6" s="1"/>
  <c r="W29" i="6" s="1"/>
  <c r="Q30" i="6"/>
  <c r="T30" i="6" s="1"/>
  <c r="W30" i="6" s="1"/>
  <c r="Q31" i="6"/>
  <c r="T31" i="6" s="1"/>
  <c r="W31" i="6" s="1"/>
  <c r="Q32" i="6"/>
  <c r="T32" i="6" s="1"/>
  <c r="W32" i="6" s="1"/>
  <c r="Q33" i="6"/>
  <c r="T33" i="6" s="1"/>
  <c r="W33" i="6" s="1"/>
  <c r="Q34" i="6"/>
  <c r="T34" i="6" s="1"/>
  <c r="W34" i="6" s="1"/>
  <c r="Q35" i="6"/>
  <c r="T35" i="6" s="1"/>
  <c r="W35" i="6" s="1"/>
  <c r="Q36" i="6"/>
  <c r="T36" i="6" s="1"/>
  <c r="W36" i="6" s="1"/>
  <c r="Q37" i="6"/>
  <c r="T37" i="6" s="1"/>
  <c r="W37" i="6" s="1"/>
  <c r="Q38" i="6"/>
  <c r="T38" i="6" s="1"/>
  <c r="W38" i="6" s="1"/>
  <c r="Q39" i="6"/>
  <c r="T39" i="6" s="1"/>
  <c r="W39" i="6" s="1"/>
  <c r="Q40" i="6"/>
  <c r="T40" i="6" s="1"/>
  <c r="W40" i="6" s="1"/>
  <c r="Q41" i="6"/>
  <c r="T41" i="6" s="1"/>
  <c r="W41" i="6" s="1"/>
  <c r="Q42" i="6"/>
  <c r="T42" i="6" s="1"/>
  <c r="W42" i="6" s="1"/>
  <c r="Q43" i="6"/>
  <c r="T43" i="6" s="1"/>
  <c r="W43" i="6" s="1"/>
  <c r="Q44" i="6"/>
  <c r="T44" i="6" s="1"/>
  <c r="W44" i="6" s="1"/>
  <c r="Q45" i="6"/>
  <c r="T45" i="6" s="1"/>
  <c r="W45" i="6" s="1"/>
  <c r="Q46" i="6"/>
  <c r="T46" i="6" s="1"/>
  <c r="W46" i="6" s="1"/>
  <c r="Q47" i="6"/>
  <c r="T47" i="6" s="1"/>
  <c r="W47" i="6" s="1"/>
  <c r="Q48" i="6"/>
  <c r="T48" i="6" s="1"/>
  <c r="W48" i="6" s="1"/>
  <c r="Q49" i="6"/>
  <c r="T49" i="6" s="1"/>
  <c r="W49" i="6" s="1"/>
  <c r="Q50" i="6"/>
  <c r="T50" i="6" s="1"/>
  <c r="W50" i="6" s="1"/>
  <c r="Q51" i="6"/>
  <c r="T51" i="6" s="1"/>
  <c r="W51" i="6" s="1"/>
  <c r="L55" i="7" l="1"/>
  <c r="K80" i="7"/>
  <c r="J80" i="7"/>
  <c r="M80" i="7"/>
  <c r="L74" i="7"/>
  <c r="L78" i="7" s="1"/>
  <c r="O66" i="7"/>
  <c r="O69" i="7" s="1"/>
  <c r="L69" i="7"/>
  <c r="L63" i="7"/>
  <c r="O5" i="7"/>
  <c r="O55" i="7" s="1"/>
  <c r="O58" i="7"/>
  <c r="O63" i="7" s="1"/>
  <c r="T60" i="6"/>
  <c r="W56" i="6"/>
  <c r="U52" i="6"/>
  <c r="V75" i="6"/>
  <c r="U75" i="6"/>
  <c r="S75" i="6"/>
  <c r="R75" i="6"/>
  <c r="Q74" i="6"/>
  <c r="T74" i="6" s="1"/>
  <c r="W74" i="6" s="1"/>
  <c r="Q73" i="6"/>
  <c r="T73" i="6" s="1"/>
  <c r="W73" i="6" s="1"/>
  <c r="Q72" i="6"/>
  <c r="T72" i="6" s="1"/>
  <c r="W72" i="6" s="1"/>
  <c r="Q71" i="6"/>
  <c r="T71" i="6" s="1"/>
  <c r="Q68" i="6"/>
  <c r="T68" i="6" s="1"/>
  <c r="W68" i="6" s="1"/>
  <c r="U66" i="6"/>
  <c r="S66" i="6"/>
  <c r="R66" i="6"/>
  <c r="Q66" i="6"/>
  <c r="Q65" i="6"/>
  <c r="T65" i="6" s="1"/>
  <c r="W65" i="6" s="1"/>
  <c r="Q64" i="6"/>
  <c r="T64" i="6" s="1"/>
  <c r="W64" i="6" s="1"/>
  <c r="Q63" i="6"/>
  <c r="T63" i="6" s="1"/>
  <c r="S60" i="6"/>
  <c r="V52" i="6"/>
  <c r="R52" i="6"/>
  <c r="W43" i="5"/>
  <c r="W26" i="5"/>
  <c r="W45" i="5"/>
  <c r="S13" i="5"/>
  <c r="W39" i="5"/>
  <c r="W16" i="5"/>
  <c r="T58" i="5"/>
  <c r="S58" i="5"/>
  <c r="X73" i="5"/>
  <c r="W73" i="5"/>
  <c r="X49" i="5"/>
  <c r="U73" i="5"/>
  <c r="T73" i="5"/>
  <c r="T64" i="5"/>
  <c r="S52" i="5"/>
  <c r="V52" i="5" s="1"/>
  <c r="Y52" i="5" s="1"/>
  <c r="S53" i="5"/>
  <c r="S54" i="5"/>
  <c r="S55" i="5"/>
  <c r="S56" i="5"/>
  <c r="S57" i="5"/>
  <c r="S61" i="5"/>
  <c r="V61" i="5" s="1"/>
  <c r="S62" i="5"/>
  <c r="S63" i="5"/>
  <c r="S64" i="5"/>
  <c r="S66" i="5"/>
  <c r="V66" i="5" s="1"/>
  <c r="S70" i="5"/>
  <c r="S71" i="5"/>
  <c r="S72" i="5"/>
  <c r="S69" i="5"/>
  <c r="F73" i="5"/>
  <c r="G73" i="5"/>
  <c r="H73" i="5"/>
  <c r="I73" i="5"/>
  <c r="J73" i="5"/>
  <c r="K73" i="5"/>
  <c r="E73" i="5"/>
  <c r="T49" i="5"/>
  <c r="F49" i="5"/>
  <c r="G49" i="5"/>
  <c r="H49" i="5"/>
  <c r="I49" i="5"/>
  <c r="J49" i="5"/>
  <c r="K49" i="5"/>
  <c r="E49" i="5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E50" i="4"/>
  <c r="S6" i="5"/>
  <c r="S7" i="5"/>
  <c r="S8" i="5"/>
  <c r="S9" i="5"/>
  <c r="S10" i="5"/>
  <c r="S11" i="5"/>
  <c r="S12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5" i="5"/>
  <c r="O74" i="7" l="1"/>
  <c r="O78" i="7" s="1"/>
  <c r="O80" i="7" s="1"/>
  <c r="L80" i="7"/>
  <c r="R77" i="6"/>
  <c r="V77" i="6"/>
  <c r="U77" i="6"/>
  <c r="T66" i="6"/>
  <c r="T75" i="6"/>
  <c r="T52" i="6"/>
  <c r="T77" i="6" s="1"/>
  <c r="Q52" i="6"/>
  <c r="W71" i="6"/>
  <c r="W75" i="6" s="1"/>
  <c r="W63" i="6"/>
  <c r="W66" i="6" s="1"/>
  <c r="W60" i="6"/>
  <c r="Q75" i="6"/>
  <c r="X75" i="5"/>
  <c r="W49" i="5"/>
  <c r="S49" i="5"/>
  <c r="S73" i="5"/>
  <c r="U9" i="5" l="1"/>
  <c r="V72" i="5"/>
  <c r="Y72" i="5" s="1"/>
  <c r="V71" i="5"/>
  <c r="Y71" i="5" s="1"/>
  <c r="V70" i="5"/>
  <c r="Y70" i="5" s="1"/>
  <c r="V69" i="5"/>
  <c r="Y66" i="5"/>
  <c r="W64" i="5"/>
  <c r="U64" i="5"/>
  <c r="V63" i="5"/>
  <c r="Y63" i="5" s="1"/>
  <c r="V62" i="5"/>
  <c r="W58" i="5"/>
  <c r="W75" i="5" s="1"/>
  <c r="U58" i="5"/>
  <c r="V57" i="5"/>
  <c r="Y57" i="5" s="1"/>
  <c r="V56" i="5"/>
  <c r="Y56" i="5" s="1"/>
  <c r="V55" i="5"/>
  <c r="Y55" i="5" s="1"/>
  <c r="V54" i="5"/>
  <c r="Y54" i="5" s="1"/>
  <c r="V53" i="5"/>
  <c r="V48" i="5"/>
  <c r="Y48" i="5" s="1"/>
  <c r="V47" i="5"/>
  <c r="Y47" i="5" s="1"/>
  <c r="V46" i="5"/>
  <c r="Y46" i="5" s="1"/>
  <c r="V45" i="5"/>
  <c r="Y45" i="5" s="1"/>
  <c r="V44" i="5"/>
  <c r="Y44" i="5" s="1"/>
  <c r="V43" i="5"/>
  <c r="Y43" i="5" s="1"/>
  <c r="V42" i="5"/>
  <c r="Y42" i="5" s="1"/>
  <c r="V41" i="5"/>
  <c r="Y41" i="5" s="1"/>
  <c r="V40" i="5"/>
  <c r="Y40" i="5" s="1"/>
  <c r="V39" i="5"/>
  <c r="Y39" i="5" s="1"/>
  <c r="V38" i="5"/>
  <c r="Y38" i="5" s="1"/>
  <c r="V37" i="5"/>
  <c r="Y37" i="5" s="1"/>
  <c r="V36" i="5"/>
  <c r="Y36" i="5" s="1"/>
  <c r="V35" i="5"/>
  <c r="Y35" i="5" s="1"/>
  <c r="V34" i="5"/>
  <c r="Y34" i="5" s="1"/>
  <c r="V33" i="5"/>
  <c r="Y33" i="5" s="1"/>
  <c r="V32" i="5"/>
  <c r="Y32" i="5" s="1"/>
  <c r="V31" i="5"/>
  <c r="Y31" i="5" s="1"/>
  <c r="V30" i="5"/>
  <c r="Y30" i="5" s="1"/>
  <c r="V29" i="5"/>
  <c r="Y29" i="5" s="1"/>
  <c r="V28" i="5"/>
  <c r="Y28" i="5" s="1"/>
  <c r="V27" i="5"/>
  <c r="Y27" i="5" s="1"/>
  <c r="V26" i="5"/>
  <c r="Y26" i="5" s="1"/>
  <c r="V25" i="5"/>
  <c r="Y25" i="5" s="1"/>
  <c r="V24" i="5"/>
  <c r="Y24" i="5" s="1"/>
  <c r="V23" i="5"/>
  <c r="Y23" i="5" s="1"/>
  <c r="V22" i="5"/>
  <c r="Y22" i="5" s="1"/>
  <c r="V21" i="5"/>
  <c r="Y21" i="5" s="1"/>
  <c r="V20" i="5"/>
  <c r="Y20" i="5" s="1"/>
  <c r="V19" i="5"/>
  <c r="Y19" i="5" s="1"/>
  <c r="V18" i="5"/>
  <c r="Y18" i="5" s="1"/>
  <c r="V17" i="5"/>
  <c r="Y17" i="5" s="1"/>
  <c r="V16" i="5"/>
  <c r="Y16" i="5" s="1"/>
  <c r="V15" i="5"/>
  <c r="Y15" i="5" s="1"/>
  <c r="V14" i="5"/>
  <c r="Y14" i="5" s="1"/>
  <c r="V13" i="5"/>
  <c r="Y13" i="5" s="1"/>
  <c r="V12" i="5"/>
  <c r="Y12" i="5" s="1"/>
  <c r="V10" i="5"/>
  <c r="Y10" i="5" s="1"/>
  <c r="V8" i="5"/>
  <c r="Y8" i="5" s="1"/>
  <c r="V7" i="5"/>
  <c r="Y7" i="5" s="1"/>
  <c r="V6" i="5"/>
  <c r="Y6" i="5" s="1"/>
  <c r="V9" i="5" l="1"/>
  <c r="Y9" i="5" s="1"/>
  <c r="U49" i="5"/>
  <c r="U75" i="5" s="1"/>
  <c r="Y62" i="5"/>
  <c r="V64" i="5"/>
  <c r="Y53" i="5"/>
  <c r="V58" i="5"/>
  <c r="V73" i="5"/>
  <c r="V11" i="5"/>
  <c r="Y11" i="5" s="1"/>
  <c r="T75" i="5"/>
  <c r="V5" i="5"/>
  <c r="Y5" i="5" s="1"/>
  <c r="Y69" i="5"/>
  <c r="Y73" i="5" s="1"/>
  <c r="AB76" i="4"/>
  <c r="AA74" i="4"/>
  <c r="AA29" i="4"/>
  <c r="AA13" i="4"/>
  <c r="AA34" i="4"/>
  <c r="Y11" i="4"/>
  <c r="Y9" i="4"/>
  <c r="V49" i="5" l="1"/>
  <c r="V75" i="5" s="1"/>
  <c r="Y49" i="5"/>
  <c r="Y61" i="5"/>
  <c r="Y64" i="5" s="1"/>
  <c r="Y58" i="5"/>
  <c r="AA50" i="4"/>
  <c r="W5" i="4"/>
  <c r="W70" i="4"/>
  <c r="W71" i="4"/>
  <c r="W72" i="4"/>
  <c r="W73" i="4"/>
  <c r="W69" i="4"/>
  <c r="W67" i="4"/>
  <c r="W63" i="4"/>
  <c r="W64" i="4"/>
  <c r="W62" i="4"/>
  <c r="W54" i="4"/>
  <c r="W55" i="4"/>
  <c r="W56" i="4"/>
  <c r="W57" i="4"/>
  <c r="W58" i="4"/>
  <c r="W53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Y75" i="5" l="1"/>
  <c r="W74" i="4"/>
  <c r="W59" i="4"/>
  <c r="Y74" i="4" l="1"/>
  <c r="X74" i="4"/>
  <c r="Z73" i="4"/>
  <c r="AC73" i="4" s="1"/>
  <c r="Z72" i="4"/>
  <c r="AC72" i="4" s="1"/>
  <c r="Z71" i="4"/>
  <c r="AC71" i="4" s="1"/>
  <c r="Z67" i="4"/>
  <c r="AC67" i="4" s="1"/>
  <c r="AA65" i="4"/>
  <c r="Y65" i="4"/>
  <c r="X65" i="4"/>
  <c r="Z64" i="4"/>
  <c r="AC64" i="4" s="1"/>
  <c r="Z63" i="4"/>
  <c r="AC63" i="4" s="1"/>
  <c r="AA59" i="4"/>
  <c r="Y59" i="4"/>
  <c r="X59" i="4"/>
  <c r="Z58" i="4"/>
  <c r="AC58" i="4" s="1"/>
  <c r="Z57" i="4"/>
  <c r="AC57" i="4" s="1"/>
  <c r="Z56" i="4"/>
  <c r="AC56" i="4" s="1"/>
  <c r="Z55" i="4"/>
  <c r="AC55" i="4" s="1"/>
  <c r="Z54" i="4"/>
  <c r="AC54" i="4" s="1"/>
  <c r="X50" i="4"/>
  <c r="Z49" i="4"/>
  <c r="AC49" i="4" s="1"/>
  <c r="Z48" i="4"/>
  <c r="AC48" i="4" s="1"/>
  <c r="Z47" i="4"/>
  <c r="AC47" i="4" s="1"/>
  <c r="Z46" i="4"/>
  <c r="AC46" i="4" s="1"/>
  <c r="Z45" i="4"/>
  <c r="AC45" i="4" s="1"/>
  <c r="Z44" i="4"/>
  <c r="AC44" i="4" s="1"/>
  <c r="Z43" i="4"/>
  <c r="AC43" i="4" s="1"/>
  <c r="Z42" i="4"/>
  <c r="AC42" i="4" s="1"/>
  <c r="Z41" i="4"/>
  <c r="AC41" i="4" s="1"/>
  <c r="Z40" i="4"/>
  <c r="AC40" i="4" s="1"/>
  <c r="Z39" i="4"/>
  <c r="AC39" i="4" s="1"/>
  <c r="Z38" i="4"/>
  <c r="AC38" i="4" s="1"/>
  <c r="Z37" i="4"/>
  <c r="AC37" i="4" s="1"/>
  <c r="Z36" i="4"/>
  <c r="AC36" i="4" s="1"/>
  <c r="Z35" i="4"/>
  <c r="AC35" i="4" s="1"/>
  <c r="Z34" i="4"/>
  <c r="AC34" i="4" s="1"/>
  <c r="Z33" i="4"/>
  <c r="AC33" i="4" s="1"/>
  <c r="Z32" i="4"/>
  <c r="AC32" i="4" s="1"/>
  <c r="Z31" i="4"/>
  <c r="AC31" i="4" s="1"/>
  <c r="Z30" i="4"/>
  <c r="AC30" i="4" s="1"/>
  <c r="Z29" i="4"/>
  <c r="AC29" i="4" s="1"/>
  <c r="Z28" i="4"/>
  <c r="AC28" i="4" s="1"/>
  <c r="Z27" i="4"/>
  <c r="AC27" i="4" s="1"/>
  <c r="Z26" i="4"/>
  <c r="AC26" i="4" s="1"/>
  <c r="Z25" i="4"/>
  <c r="AC25" i="4" s="1"/>
  <c r="Z24" i="4"/>
  <c r="AC24" i="4" s="1"/>
  <c r="Z23" i="4"/>
  <c r="AC23" i="4" s="1"/>
  <c r="Z22" i="4"/>
  <c r="AC22" i="4" s="1"/>
  <c r="Z21" i="4"/>
  <c r="AC21" i="4" s="1"/>
  <c r="Z20" i="4"/>
  <c r="AC20" i="4" s="1"/>
  <c r="Z19" i="4"/>
  <c r="AC19" i="4" s="1"/>
  <c r="Z18" i="4"/>
  <c r="AC18" i="4" s="1"/>
  <c r="Z17" i="4"/>
  <c r="AC17" i="4" s="1"/>
  <c r="Z16" i="4"/>
  <c r="AC16" i="4" s="1"/>
  <c r="Z15" i="4"/>
  <c r="AC15" i="4" s="1"/>
  <c r="Z14" i="4"/>
  <c r="AC14" i="4" s="1"/>
  <c r="Z13" i="4"/>
  <c r="AC13" i="4" s="1"/>
  <c r="Z12" i="4"/>
  <c r="AC12" i="4" s="1"/>
  <c r="Z11" i="4"/>
  <c r="AC11" i="4" s="1"/>
  <c r="Z10" i="4"/>
  <c r="AC10" i="4" s="1"/>
  <c r="Z8" i="4"/>
  <c r="AC8" i="4" s="1"/>
  <c r="Z7" i="4"/>
  <c r="AC7" i="4" s="1"/>
  <c r="Z6" i="4"/>
  <c r="AC6" i="4" s="1"/>
  <c r="Y6" i="3"/>
  <c r="AB6" i="3" s="1"/>
  <c r="Y5" i="3"/>
  <c r="AB5" i="3" s="1"/>
  <c r="Y68" i="3"/>
  <c r="AB68" i="3" s="1"/>
  <c r="AD68" i="3" s="1"/>
  <c r="Z66" i="3"/>
  <c r="Z60" i="3"/>
  <c r="AA76" i="4" l="1"/>
  <c r="Z9" i="4"/>
  <c r="AC9" i="4" s="1"/>
  <c r="W65" i="4"/>
  <c r="W76" i="4" s="1"/>
  <c r="Z5" i="4"/>
  <c r="AC5" i="4" s="1"/>
  <c r="X76" i="4"/>
  <c r="Z70" i="4"/>
  <c r="Y50" i="4"/>
  <c r="Y76" i="4" s="1"/>
  <c r="Z53" i="4"/>
  <c r="Z62" i="4"/>
  <c r="AD5" i="3"/>
  <c r="Y72" i="3"/>
  <c r="AB72" i="3" s="1"/>
  <c r="AD72" i="3" s="1"/>
  <c r="Y73" i="3"/>
  <c r="AB73" i="3" s="1"/>
  <c r="AD73" i="3" s="1"/>
  <c r="Y74" i="3"/>
  <c r="AB74" i="3" s="1"/>
  <c r="AD74" i="3" s="1"/>
  <c r="Y71" i="3"/>
  <c r="Y70" i="3"/>
  <c r="Y64" i="3"/>
  <c r="Y65" i="3"/>
  <c r="AB65" i="3" s="1"/>
  <c r="AD65" i="3" s="1"/>
  <c r="Y63" i="3"/>
  <c r="AB63" i="3" s="1"/>
  <c r="Y55" i="3"/>
  <c r="AB55" i="3" s="1"/>
  <c r="AD55" i="3" s="1"/>
  <c r="Y56" i="3"/>
  <c r="AB56" i="3" s="1"/>
  <c r="AD56" i="3" s="1"/>
  <c r="Y57" i="3"/>
  <c r="AB57" i="3" s="1"/>
  <c r="AD57" i="3" s="1"/>
  <c r="Y58" i="3"/>
  <c r="AB58" i="3" s="1"/>
  <c r="AD58" i="3" s="1"/>
  <c r="Y59" i="3"/>
  <c r="AB59" i="3" s="1"/>
  <c r="AD59" i="3" s="1"/>
  <c r="Y54" i="3"/>
  <c r="AD6" i="3"/>
  <c r="Y7" i="3"/>
  <c r="Y8" i="3"/>
  <c r="AB8" i="3" s="1"/>
  <c r="Y9" i="3"/>
  <c r="Y10" i="3"/>
  <c r="Y11" i="3"/>
  <c r="AB11" i="3" s="1"/>
  <c r="Y12" i="3"/>
  <c r="AB12" i="3" s="1"/>
  <c r="Y13" i="3"/>
  <c r="AB13" i="3" s="1"/>
  <c r="Y14" i="3"/>
  <c r="AB14" i="3" s="1"/>
  <c r="Y15" i="3"/>
  <c r="AB15" i="3" s="1"/>
  <c r="Y16" i="3"/>
  <c r="AB16" i="3" s="1"/>
  <c r="Y17" i="3"/>
  <c r="AB17" i="3" s="1"/>
  <c r="Y18" i="3"/>
  <c r="AB18" i="3" s="1"/>
  <c r="Y19" i="3"/>
  <c r="AB19" i="3" s="1"/>
  <c r="Y20" i="3"/>
  <c r="AB20" i="3" s="1"/>
  <c r="Y21" i="3"/>
  <c r="AB21" i="3" s="1"/>
  <c r="Y22" i="3"/>
  <c r="AB22" i="3" s="1"/>
  <c r="Y23" i="3"/>
  <c r="AB23" i="3" s="1"/>
  <c r="Y24" i="3"/>
  <c r="AB24" i="3" s="1"/>
  <c r="Y25" i="3"/>
  <c r="AB25" i="3" s="1"/>
  <c r="Y26" i="3"/>
  <c r="AB26" i="3" s="1"/>
  <c r="Y27" i="3"/>
  <c r="AB27" i="3" s="1"/>
  <c r="Y28" i="3"/>
  <c r="AB28" i="3" s="1"/>
  <c r="Y29" i="3"/>
  <c r="AB29" i="3" s="1"/>
  <c r="Y30" i="3"/>
  <c r="AB30" i="3" s="1"/>
  <c r="Y31" i="3"/>
  <c r="AB31" i="3" s="1"/>
  <c r="Y32" i="3"/>
  <c r="AB32" i="3" s="1"/>
  <c r="Y33" i="3"/>
  <c r="AB33" i="3" s="1"/>
  <c r="Y34" i="3"/>
  <c r="AB34" i="3" s="1"/>
  <c r="Y35" i="3"/>
  <c r="AB35" i="3" s="1"/>
  <c r="Y36" i="3"/>
  <c r="AB36" i="3" s="1"/>
  <c r="Y37" i="3"/>
  <c r="AB37" i="3" s="1"/>
  <c r="Y38" i="3"/>
  <c r="AB38" i="3" s="1"/>
  <c r="Y39" i="3"/>
  <c r="AB39" i="3" s="1"/>
  <c r="Y40" i="3"/>
  <c r="AB40" i="3" s="1"/>
  <c r="Y41" i="3"/>
  <c r="AB41" i="3" s="1"/>
  <c r="Y42" i="3"/>
  <c r="AB42" i="3" s="1"/>
  <c r="Y43" i="3"/>
  <c r="AB43" i="3" s="1"/>
  <c r="Y44" i="3"/>
  <c r="Y45" i="3"/>
  <c r="AB45" i="3" s="1"/>
  <c r="Y46" i="3"/>
  <c r="Y47" i="3"/>
  <c r="AB47" i="3" s="1"/>
  <c r="Y48" i="3"/>
  <c r="Y49" i="3"/>
  <c r="AB49" i="3" s="1"/>
  <c r="Y50" i="3"/>
  <c r="AB50" i="3" s="1"/>
  <c r="AD50" i="3" s="1"/>
  <c r="AA9" i="3"/>
  <c r="AA51" i="3" s="1"/>
  <c r="Z75" i="3"/>
  <c r="AA66" i="3"/>
  <c r="AC66" i="3"/>
  <c r="AA60" i="3"/>
  <c r="AC60" i="3"/>
  <c r="AC51" i="3"/>
  <c r="Z51" i="3"/>
  <c r="AC75" i="3"/>
  <c r="AA75" i="3"/>
  <c r="AD63" i="2"/>
  <c r="AC73" i="2"/>
  <c r="AG49" i="2"/>
  <c r="AF48" i="2"/>
  <c r="AH48" i="2" s="1"/>
  <c r="AE49" i="2"/>
  <c r="AF65" i="2"/>
  <c r="AH65" i="2" s="1"/>
  <c r="AG63" i="2"/>
  <c r="AE63" i="2"/>
  <c r="AD57" i="2"/>
  <c r="AB9" i="3" l="1"/>
  <c r="AD9" i="3" s="1"/>
  <c r="Z59" i="4"/>
  <c r="AC53" i="4"/>
  <c r="AC59" i="4" s="1"/>
  <c r="Z74" i="4"/>
  <c r="AC70" i="4"/>
  <c r="AC74" i="4" s="1"/>
  <c r="Z65" i="4"/>
  <c r="AC62" i="4"/>
  <c r="AC65" i="4" s="1"/>
  <c r="AC50" i="4"/>
  <c r="Z50" i="4"/>
  <c r="AB44" i="3"/>
  <c r="AD44" i="3" s="1"/>
  <c r="AB48" i="3"/>
  <c r="AD48" i="3" s="1"/>
  <c r="AB46" i="3"/>
  <c r="AD46" i="3" s="1"/>
  <c r="AB10" i="3"/>
  <c r="AD10" i="3" s="1"/>
  <c r="AB7" i="3"/>
  <c r="AD7" i="3" s="1"/>
  <c r="AA77" i="3"/>
  <c r="Y75" i="3"/>
  <c r="Y60" i="3"/>
  <c r="Y66" i="3"/>
  <c r="AB64" i="3"/>
  <c r="AD64" i="3" s="1"/>
  <c r="Z77" i="3"/>
  <c r="AD49" i="3"/>
  <c r="AD45" i="3"/>
  <c r="Y51" i="3"/>
  <c r="AD63" i="3"/>
  <c r="AD47" i="3"/>
  <c r="AC77" i="3"/>
  <c r="AD36" i="3"/>
  <c r="AD32" i="3"/>
  <c r="AD28" i="3"/>
  <c r="AD24" i="3"/>
  <c r="AD20" i="3"/>
  <c r="AD16" i="3"/>
  <c r="AD12" i="3"/>
  <c r="AD8" i="3"/>
  <c r="AD42" i="3"/>
  <c r="AD38" i="3"/>
  <c r="AD34" i="3"/>
  <c r="AD26" i="3"/>
  <c r="AD22" i="3"/>
  <c r="AD18" i="3"/>
  <c r="AD14" i="3"/>
  <c r="AD30" i="3"/>
  <c r="AD40" i="3"/>
  <c r="AD13" i="3"/>
  <c r="AD21" i="3"/>
  <c r="AD25" i="3"/>
  <c r="AD29" i="3"/>
  <c r="AD33" i="3"/>
  <c r="AD37" i="3"/>
  <c r="AD41" i="3"/>
  <c r="AD17" i="3"/>
  <c r="AD11" i="3"/>
  <c r="AD15" i="3"/>
  <c r="AD19" i="3"/>
  <c r="AD23" i="3"/>
  <c r="AD27" i="3"/>
  <c r="AD31" i="3"/>
  <c r="AD35" i="3"/>
  <c r="AD39" i="3"/>
  <c r="AD43" i="3"/>
  <c r="AB54" i="3"/>
  <c r="AB60" i="3" s="1"/>
  <c r="AB71" i="3"/>
  <c r="AB75" i="3" s="1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F24" i="2" s="1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5" i="2"/>
  <c r="AC76" i="4" l="1"/>
  <c r="Z76" i="4"/>
  <c r="AD51" i="3"/>
  <c r="AB66" i="3"/>
  <c r="AD66" i="3"/>
  <c r="Y77" i="3"/>
  <c r="AB51" i="3"/>
  <c r="AD71" i="3"/>
  <c r="AD75" i="3" s="1"/>
  <c r="AD54" i="3"/>
  <c r="AD60" i="3" s="1"/>
  <c r="AF5" i="2"/>
  <c r="AC49" i="2"/>
  <c r="AD9" i="2"/>
  <c r="AD49" i="2" s="1"/>
  <c r="AF6" i="2"/>
  <c r="AF8" i="2"/>
  <c r="AF10" i="2"/>
  <c r="AF12" i="2"/>
  <c r="AF13" i="2"/>
  <c r="AF14" i="2"/>
  <c r="AF15" i="2"/>
  <c r="AF16" i="2"/>
  <c r="AF17" i="2"/>
  <c r="AF18" i="2"/>
  <c r="AF19" i="2"/>
  <c r="AF20" i="2"/>
  <c r="AF21" i="2"/>
  <c r="AF22" i="2"/>
  <c r="AF25" i="2"/>
  <c r="AF26" i="2"/>
  <c r="AF28" i="2"/>
  <c r="AF29" i="2"/>
  <c r="AF30" i="2"/>
  <c r="AF31" i="2"/>
  <c r="AF32" i="2"/>
  <c r="AF33" i="2"/>
  <c r="AF35" i="2"/>
  <c r="AF36" i="2"/>
  <c r="AF37" i="2"/>
  <c r="AF39" i="2"/>
  <c r="AF40" i="2"/>
  <c r="AF41" i="2"/>
  <c r="AF43" i="2"/>
  <c r="AF44" i="2"/>
  <c r="AF45" i="2"/>
  <c r="AF46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Z49" i="2"/>
  <c r="AB49" i="2"/>
  <c r="E49" i="2"/>
  <c r="AC60" i="2"/>
  <c r="AC61" i="2"/>
  <c r="AC62" i="2"/>
  <c r="AC59" i="2"/>
  <c r="AC52" i="2"/>
  <c r="AC53" i="2"/>
  <c r="AC54" i="2"/>
  <c r="AC55" i="2"/>
  <c r="AF55" i="2" s="1"/>
  <c r="AC56" i="2"/>
  <c r="AC51" i="2"/>
  <c r="AF7" i="2"/>
  <c r="AF11" i="2"/>
  <c r="AF23" i="2"/>
  <c r="AF27" i="2"/>
  <c r="AF34" i="2"/>
  <c r="AF38" i="2"/>
  <c r="AF42" i="2"/>
  <c r="AC63" i="2" l="1"/>
  <c r="AB77" i="3"/>
  <c r="AD77" i="3"/>
  <c r="AC57" i="2"/>
  <c r="AF9" i="2"/>
  <c r="AF49" i="2" s="1"/>
  <c r="AC68" i="2" l="1"/>
  <c r="AC69" i="2"/>
  <c r="AC70" i="2"/>
  <c r="AC71" i="2"/>
  <c r="AF71" i="2" s="1"/>
  <c r="AC67" i="2"/>
  <c r="AF61" i="2"/>
  <c r="AH61" i="2" s="1"/>
  <c r="AG72" i="2"/>
  <c r="AE72" i="2"/>
  <c r="AE74" i="2" s="1"/>
  <c r="AD72" i="2"/>
  <c r="AD74" i="2" s="1"/>
  <c r="AF62" i="2"/>
  <c r="AH62" i="2" s="1"/>
  <c r="AF60" i="2"/>
  <c r="AH60" i="2" s="1"/>
  <c r="AF59" i="2"/>
  <c r="AG57" i="2"/>
  <c r="AF56" i="2"/>
  <c r="AH56" i="2" s="1"/>
  <c r="AH55" i="2"/>
  <c r="AF54" i="2"/>
  <c r="AH54" i="2" s="1"/>
  <c r="AF53" i="2"/>
  <c r="AH53" i="2" s="1"/>
  <c r="AF52" i="2"/>
  <c r="AH52" i="2" s="1"/>
  <c r="AF51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8" i="2"/>
  <c r="AH7" i="2"/>
  <c r="AH6" i="2"/>
  <c r="AH5" i="2"/>
  <c r="AG47" i="1"/>
  <c r="AH63" i="1"/>
  <c r="AJ63" i="1" s="1"/>
  <c r="AF61" i="1"/>
  <c r="AF55" i="1"/>
  <c r="AI47" i="1"/>
  <c r="AC72" i="2" l="1"/>
  <c r="AC74" i="2" s="1"/>
  <c r="AF63" i="2"/>
  <c r="AF57" i="2"/>
  <c r="AF70" i="2"/>
  <c r="AH70" i="2" s="1"/>
  <c r="AF68" i="2"/>
  <c r="AF69" i="2"/>
  <c r="AH69" i="2" s="1"/>
  <c r="AH9" i="2"/>
  <c r="AH51" i="2"/>
  <c r="AH57" i="2" s="1"/>
  <c r="AH59" i="2"/>
  <c r="AH63" i="2" s="1"/>
  <c r="AG74" i="2"/>
  <c r="AF72" i="2" l="1"/>
  <c r="AF74" i="2" s="1"/>
  <c r="AH68" i="2"/>
  <c r="AH71" i="2"/>
  <c r="AH46" i="2"/>
  <c r="AH49" i="2" s="1"/>
  <c r="AE6" i="1"/>
  <c r="AE7" i="1"/>
  <c r="AH7" i="1" s="1"/>
  <c r="AJ7" i="1" s="1"/>
  <c r="AE8" i="1"/>
  <c r="AH8" i="1" s="1"/>
  <c r="AJ8" i="1" s="1"/>
  <c r="AE9" i="1"/>
  <c r="AE10" i="1"/>
  <c r="AH10" i="1" s="1"/>
  <c r="AJ10" i="1" s="1"/>
  <c r="AE11" i="1"/>
  <c r="AH11" i="1" s="1"/>
  <c r="AJ11" i="1" s="1"/>
  <c r="AE12" i="1"/>
  <c r="AH12" i="1" s="1"/>
  <c r="AJ12" i="1" s="1"/>
  <c r="AE13" i="1"/>
  <c r="AH13" i="1" s="1"/>
  <c r="AJ13" i="1" s="1"/>
  <c r="AE14" i="1"/>
  <c r="AH14" i="1" s="1"/>
  <c r="AJ14" i="1" s="1"/>
  <c r="AE15" i="1"/>
  <c r="AH15" i="1" s="1"/>
  <c r="AJ15" i="1" s="1"/>
  <c r="AE16" i="1"/>
  <c r="AH16" i="1" s="1"/>
  <c r="AJ16" i="1" s="1"/>
  <c r="AE17" i="1"/>
  <c r="AH17" i="1" s="1"/>
  <c r="AJ17" i="1" s="1"/>
  <c r="AE18" i="1"/>
  <c r="AH18" i="1" s="1"/>
  <c r="AJ18" i="1" s="1"/>
  <c r="AE19" i="1"/>
  <c r="AH19" i="1" s="1"/>
  <c r="AJ19" i="1" s="1"/>
  <c r="AE20" i="1"/>
  <c r="AH20" i="1" s="1"/>
  <c r="AJ20" i="1" s="1"/>
  <c r="AE21" i="1"/>
  <c r="AH21" i="1" s="1"/>
  <c r="AJ21" i="1" s="1"/>
  <c r="AE22" i="1"/>
  <c r="AH22" i="1" s="1"/>
  <c r="AJ22" i="1" s="1"/>
  <c r="AE23" i="1"/>
  <c r="AH23" i="1" s="1"/>
  <c r="AJ23" i="1" s="1"/>
  <c r="AE24" i="1"/>
  <c r="AH24" i="1" s="1"/>
  <c r="AJ24" i="1" s="1"/>
  <c r="AE25" i="1"/>
  <c r="AH25" i="1" s="1"/>
  <c r="AJ25" i="1" s="1"/>
  <c r="AE26" i="1"/>
  <c r="AH26" i="1" s="1"/>
  <c r="AJ26" i="1" s="1"/>
  <c r="AE27" i="1"/>
  <c r="AH27" i="1" s="1"/>
  <c r="AJ27" i="1" s="1"/>
  <c r="AE28" i="1"/>
  <c r="AH28" i="1" s="1"/>
  <c r="AJ28" i="1" s="1"/>
  <c r="AE29" i="1"/>
  <c r="AH29" i="1" s="1"/>
  <c r="AJ29" i="1" s="1"/>
  <c r="AE30" i="1"/>
  <c r="AH30" i="1" s="1"/>
  <c r="AJ30" i="1" s="1"/>
  <c r="AE31" i="1"/>
  <c r="AH31" i="1" s="1"/>
  <c r="AJ31" i="1" s="1"/>
  <c r="AE32" i="1"/>
  <c r="AH32" i="1" s="1"/>
  <c r="AJ32" i="1" s="1"/>
  <c r="AE33" i="1"/>
  <c r="AH33" i="1" s="1"/>
  <c r="AJ33" i="1" s="1"/>
  <c r="AE34" i="1"/>
  <c r="AH34" i="1" s="1"/>
  <c r="AJ34" i="1" s="1"/>
  <c r="AE35" i="1"/>
  <c r="AH35" i="1" s="1"/>
  <c r="AJ35" i="1" s="1"/>
  <c r="AE36" i="1"/>
  <c r="AH36" i="1" s="1"/>
  <c r="AJ36" i="1" s="1"/>
  <c r="AE37" i="1"/>
  <c r="AH37" i="1" s="1"/>
  <c r="AJ37" i="1" s="1"/>
  <c r="AE38" i="1"/>
  <c r="AH38" i="1" s="1"/>
  <c r="AJ38" i="1" s="1"/>
  <c r="AE39" i="1"/>
  <c r="AH39" i="1" s="1"/>
  <c r="AJ39" i="1" s="1"/>
  <c r="AE40" i="1"/>
  <c r="AH40" i="1" s="1"/>
  <c r="AJ40" i="1" s="1"/>
  <c r="AE41" i="1"/>
  <c r="AH41" i="1" s="1"/>
  <c r="AJ41" i="1" s="1"/>
  <c r="AE42" i="1"/>
  <c r="AH42" i="1" s="1"/>
  <c r="AJ42" i="1" s="1"/>
  <c r="AE43" i="1"/>
  <c r="AH43" i="1" s="1"/>
  <c r="AJ43" i="1" s="1"/>
  <c r="AE44" i="1"/>
  <c r="AH44" i="1" s="1"/>
  <c r="AJ44" i="1" s="1"/>
  <c r="AE45" i="1"/>
  <c r="AH45" i="1" s="1"/>
  <c r="AJ45" i="1" s="1"/>
  <c r="AE46" i="1"/>
  <c r="AH46" i="1" s="1"/>
  <c r="AJ46" i="1" s="1"/>
  <c r="AF70" i="1"/>
  <c r="AE58" i="1"/>
  <c r="AH58" i="1" s="1"/>
  <c r="AE59" i="1"/>
  <c r="AH59" i="1" s="1"/>
  <c r="AE60" i="1"/>
  <c r="AH60" i="1" s="1"/>
  <c r="AE57" i="1"/>
  <c r="AH57" i="1" s="1"/>
  <c r="AJ57" i="1" s="1"/>
  <c r="AE50" i="1"/>
  <c r="AH50" i="1" s="1"/>
  <c r="AJ50" i="1" s="1"/>
  <c r="AE51" i="1"/>
  <c r="AH51" i="1" s="1"/>
  <c r="AJ51" i="1" s="1"/>
  <c r="AE52" i="1"/>
  <c r="AH52" i="1" s="1"/>
  <c r="AJ52" i="1" s="1"/>
  <c r="AE53" i="1"/>
  <c r="AH53" i="1" s="1"/>
  <c r="AJ53" i="1" s="1"/>
  <c r="AE54" i="1"/>
  <c r="AH54" i="1" s="1"/>
  <c r="AJ54" i="1" s="1"/>
  <c r="AE49" i="1"/>
  <c r="AH49" i="1" s="1"/>
  <c r="AF9" i="1"/>
  <c r="AF47" i="1" s="1"/>
  <c r="AH72" i="2" l="1"/>
  <c r="AH74" i="2" s="1"/>
  <c r="AE61" i="1"/>
  <c r="AE55" i="1"/>
  <c r="AF72" i="1"/>
  <c r="AE47" i="1"/>
  <c r="AH6" i="1"/>
  <c r="AJ6" i="1" s="1"/>
  <c r="AJ5" i="1"/>
  <c r="AJ49" i="1"/>
  <c r="AJ55" i="1" s="1"/>
  <c r="AH55" i="1"/>
  <c r="AH9" i="1"/>
  <c r="AJ9" i="1" s="1"/>
  <c r="AH61" i="1"/>
  <c r="AE66" i="1"/>
  <c r="AH66" i="1" s="1"/>
  <c r="AE67" i="1"/>
  <c r="AE68" i="1"/>
  <c r="AH68" i="1" s="1"/>
  <c r="AJ68" i="1" s="1"/>
  <c r="AE69" i="1"/>
  <c r="AH69" i="1" s="1"/>
  <c r="AJ69" i="1" s="1"/>
  <c r="AE65" i="1"/>
  <c r="AI70" i="1"/>
  <c r="AG70" i="1"/>
  <c r="AI61" i="1"/>
  <c r="AJ60" i="1"/>
  <c r="AJ59" i="1"/>
  <c r="AJ58" i="1"/>
  <c r="AI55" i="1"/>
  <c r="AI72" i="1" l="1"/>
  <c r="AH47" i="1"/>
  <c r="AJ47" i="1"/>
  <c r="AH67" i="1"/>
  <c r="AH70" i="1" s="1"/>
  <c r="AE70" i="1"/>
  <c r="AG72" i="1"/>
  <c r="AJ61" i="1"/>
  <c r="AJ66" i="1"/>
  <c r="AH72" i="1" l="1"/>
  <c r="AJ67" i="1"/>
  <c r="AJ70" i="1" s="1"/>
  <c r="AJ72" i="1" s="1"/>
  <c r="AE72" i="1"/>
  <c r="S52" i="6" l="1"/>
  <c r="S77" i="6" s="1"/>
  <c r="W52" i="6"/>
  <c r="W77" i="6" s="1"/>
</calcChain>
</file>

<file path=xl/sharedStrings.xml><?xml version="1.0" encoding="utf-8"?>
<sst xmlns="http://schemas.openxmlformats.org/spreadsheetml/2006/main" count="2301" uniqueCount="376">
  <si>
    <t>REKKER LIMITED</t>
  </si>
  <si>
    <t>PAYROLL</t>
  </si>
  <si>
    <t>PECKER</t>
  </si>
  <si>
    <t>DEDUCTIONS</t>
  </si>
  <si>
    <t>NET PAY</t>
  </si>
  <si>
    <t>NO.</t>
  </si>
  <si>
    <t>STAFF</t>
  </si>
  <si>
    <t>ACC. TYPE</t>
  </si>
  <si>
    <t>ACC. NO</t>
  </si>
  <si>
    <t>OVERTIME</t>
  </si>
  <si>
    <t>BASIC SALARY</t>
  </si>
  <si>
    <t>LUNCH/TRANSPORT</t>
  </si>
  <si>
    <t>GROSS PAY</t>
  </si>
  <si>
    <t>ADVANCE</t>
  </si>
  <si>
    <t>1</t>
  </si>
  <si>
    <t>STEPHEN MAITHYA</t>
  </si>
  <si>
    <t>ABSA</t>
  </si>
  <si>
    <t>2</t>
  </si>
  <si>
    <t>BRIAN KARIANKI</t>
  </si>
  <si>
    <t>KCB</t>
  </si>
  <si>
    <t>1286200709</t>
  </si>
  <si>
    <t>3</t>
  </si>
  <si>
    <t>DENNIS KIBACHU</t>
  </si>
  <si>
    <t>FAMILY</t>
  </si>
  <si>
    <t>059000031699</t>
  </si>
  <si>
    <t>4</t>
  </si>
  <si>
    <t>DUNCAN OBONYO</t>
  </si>
  <si>
    <t>COOP</t>
  </si>
  <si>
    <t>01102184418001</t>
  </si>
  <si>
    <t>5</t>
  </si>
  <si>
    <t>ALBERT MUTWIRI</t>
  </si>
  <si>
    <t>01116000962200</t>
  </si>
  <si>
    <t>6</t>
  </si>
  <si>
    <t>JOHN MWANGI</t>
  </si>
  <si>
    <t>EQUITY</t>
  </si>
  <si>
    <t>0870186128611</t>
  </si>
  <si>
    <t>7</t>
  </si>
  <si>
    <t>EMMA KAIRANYA</t>
  </si>
  <si>
    <t>2045401785</t>
  </si>
  <si>
    <t>8</t>
  </si>
  <si>
    <t>IAN MWANGO</t>
  </si>
  <si>
    <t>0870186123002</t>
  </si>
  <si>
    <t>9</t>
  </si>
  <si>
    <t>FREDERICK KATHURIMA</t>
  </si>
  <si>
    <t>0010290196907</t>
  </si>
  <si>
    <t>10</t>
  </si>
  <si>
    <t>JOHN GAKUNDI</t>
  </si>
  <si>
    <t>1170194915</t>
  </si>
  <si>
    <t>11</t>
  </si>
  <si>
    <t>ELIZABETH ATIENO</t>
  </si>
  <si>
    <t>1850182557796</t>
  </si>
  <si>
    <t>12</t>
  </si>
  <si>
    <t>LUCY GAKURU</t>
  </si>
  <si>
    <t>0730184090686</t>
  </si>
  <si>
    <t>13</t>
  </si>
  <si>
    <t>CYRUS KIGUMO</t>
  </si>
  <si>
    <t>MPESA</t>
  </si>
  <si>
    <t>0115688002</t>
  </si>
  <si>
    <t>14</t>
  </si>
  <si>
    <t>EVANS OMWENGA</t>
  </si>
  <si>
    <t>0260196795161</t>
  </si>
  <si>
    <t>15</t>
  </si>
  <si>
    <t>LILIAN WANJA</t>
  </si>
  <si>
    <t>1336115475</t>
  </si>
  <si>
    <t>16</t>
  </si>
  <si>
    <t>WINNIE WANJIKU</t>
  </si>
  <si>
    <t>1338614088</t>
  </si>
  <si>
    <t>17</t>
  </si>
  <si>
    <t>JOSEPH KAMAU</t>
  </si>
  <si>
    <t>0890186148009</t>
  </si>
  <si>
    <t>18</t>
  </si>
  <si>
    <t>STEPHEN MWENDWA</t>
  </si>
  <si>
    <t>0170162366227</t>
  </si>
  <si>
    <t>19</t>
  </si>
  <si>
    <t>MAX MBUNDI</t>
  </si>
  <si>
    <t>1316817423</t>
  </si>
  <si>
    <t>20</t>
  </si>
  <si>
    <t>DOUGLAS WAMBUA</t>
  </si>
  <si>
    <t xml:space="preserve">DIAMOND TRUST </t>
  </si>
  <si>
    <t>0190683405001</t>
  </si>
  <si>
    <t>21</t>
  </si>
  <si>
    <t>DOREEN ETHAIBA</t>
  </si>
  <si>
    <t>01101423383001</t>
  </si>
  <si>
    <t>22</t>
  </si>
  <si>
    <t>AGNES NYABOKE</t>
  </si>
  <si>
    <t>0800180514629</t>
  </si>
  <si>
    <t>23</t>
  </si>
  <si>
    <t>KIZITO IKOLOMANI</t>
  </si>
  <si>
    <t>1330186706398</t>
  </si>
  <si>
    <t>24</t>
  </si>
  <si>
    <t>GRAM</t>
  </si>
  <si>
    <t>0723014149</t>
  </si>
  <si>
    <t>25</t>
  </si>
  <si>
    <t>JEFF MWAURA</t>
  </si>
  <si>
    <t>1344184898</t>
  </si>
  <si>
    <t>26</t>
  </si>
  <si>
    <t>JOHN MUTURI</t>
  </si>
  <si>
    <t>2051210614</t>
  </si>
  <si>
    <t>27</t>
  </si>
  <si>
    <t>KEVIN KARIUKI</t>
  </si>
  <si>
    <t>1344185665</t>
  </si>
  <si>
    <t>28</t>
  </si>
  <si>
    <t>MUIA MUYANGA</t>
  </si>
  <si>
    <t>0120186701235</t>
  </si>
  <si>
    <t>29</t>
  </si>
  <si>
    <t>HELLEN NYANGOTO</t>
  </si>
  <si>
    <t>0910177559059</t>
  </si>
  <si>
    <t>30</t>
  </si>
  <si>
    <t>ONESMUS KITHOME</t>
  </si>
  <si>
    <t>0320184243770</t>
  </si>
  <si>
    <t>31</t>
  </si>
  <si>
    <t>BRENDA NKATHA</t>
  </si>
  <si>
    <t>1237745667</t>
  </si>
  <si>
    <t>32</t>
  </si>
  <si>
    <t>WYCLIFF BICHANGA</t>
  </si>
  <si>
    <t>KINGDOM</t>
  </si>
  <si>
    <t>1132017217002</t>
  </si>
  <si>
    <t>33</t>
  </si>
  <si>
    <t>BENSON OTWORI OGUTU</t>
  </si>
  <si>
    <t>34</t>
  </si>
  <si>
    <t>35</t>
  </si>
  <si>
    <t>AMOS MOSI</t>
  </si>
  <si>
    <t>045000050737</t>
  </si>
  <si>
    <t>36</t>
  </si>
  <si>
    <t>GEOFFREY SORE</t>
  </si>
  <si>
    <t>1750187018396</t>
  </si>
  <si>
    <t>37</t>
  </si>
  <si>
    <t>DENNIS MUTHURI</t>
  </si>
  <si>
    <t>01102480620001</t>
  </si>
  <si>
    <t>38</t>
  </si>
  <si>
    <t>ALICE MANENE</t>
  </si>
  <si>
    <t>01137003352100</t>
  </si>
  <si>
    <t>39</t>
  </si>
  <si>
    <t>HOSEA KINYUA</t>
  </si>
  <si>
    <t>PECKER TOTAL</t>
  </si>
  <si>
    <t>STORE</t>
  </si>
  <si>
    <t>MUTUMA</t>
  </si>
  <si>
    <t>062000004586</t>
  </si>
  <si>
    <t>JOHN MWIRUTHI</t>
  </si>
  <si>
    <t>2052026531</t>
  </si>
  <si>
    <t>EDNA</t>
  </si>
  <si>
    <t>0723335538</t>
  </si>
  <si>
    <t>HELLEN MBURU</t>
  </si>
  <si>
    <t>0240190219689</t>
  </si>
  <si>
    <t>GRACE WANJIKU</t>
  </si>
  <si>
    <t>2045406019</t>
  </si>
  <si>
    <t>STORE TOTAL</t>
  </si>
  <si>
    <t>SHOP</t>
  </si>
  <si>
    <t>JAMLECK THIURU</t>
  </si>
  <si>
    <t>0880161447895</t>
  </si>
  <si>
    <t>ALBINA</t>
  </si>
  <si>
    <t>01116178423300</t>
  </si>
  <si>
    <t>EMMAH KIMANI</t>
  </si>
  <si>
    <t>01102031078001</t>
  </si>
  <si>
    <t>JACKSON NDERITU</t>
  </si>
  <si>
    <t>1292666536</t>
  </si>
  <si>
    <t>SHOP TOTAL</t>
  </si>
  <si>
    <t>BELLAGIO</t>
  </si>
  <si>
    <t>ANTHONY MURIITHI</t>
  </si>
  <si>
    <t>MILDRED NANGAVO</t>
  </si>
  <si>
    <t>40</t>
  </si>
  <si>
    <t>0470162460498</t>
  </si>
  <si>
    <t>41</t>
  </si>
  <si>
    <t>0700186904354</t>
  </si>
  <si>
    <t>SAFFRON MILAN</t>
  </si>
  <si>
    <t>HUMPHREY ARENGA</t>
  </si>
  <si>
    <t>01101267754001</t>
  </si>
  <si>
    <t>ISAAC OKOITI</t>
  </si>
  <si>
    <t>COOPERATIVE</t>
  </si>
  <si>
    <t>01102402698001</t>
  </si>
  <si>
    <t>DAN WANYONYI (CASUAL)</t>
  </si>
  <si>
    <t>JUDY MUKAMI</t>
  </si>
  <si>
    <t>01108406120100</t>
  </si>
  <si>
    <t>SAFFRON TOTAL</t>
  </si>
  <si>
    <t>GROSS TOTALS</t>
  </si>
  <si>
    <t>FRANCIS OTIENO</t>
  </si>
  <si>
    <t>STANLEY MUSILA MUNYWOKI</t>
  </si>
  <si>
    <t>0800187100383</t>
  </si>
  <si>
    <t>JAMES KITHINJI</t>
  </si>
  <si>
    <t>I&amp;M</t>
  </si>
  <si>
    <t>04808515056150</t>
  </si>
  <si>
    <t>42</t>
  </si>
  <si>
    <t xml:space="preserve">RICHARD MURIUNGI </t>
  </si>
  <si>
    <t>0140199052401</t>
  </si>
  <si>
    <t>01102673918001</t>
  </si>
  <si>
    <t>14/1/2025</t>
  </si>
  <si>
    <t>15/1/2025</t>
  </si>
  <si>
    <t>16/1/2025</t>
  </si>
  <si>
    <t>19/1/2026</t>
  </si>
  <si>
    <t>20/1/2026</t>
  </si>
  <si>
    <t>17/01/2026</t>
  </si>
  <si>
    <t>18/1/2026</t>
  </si>
  <si>
    <t>22/1/2026</t>
  </si>
  <si>
    <t>25/1/2026</t>
  </si>
  <si>
    <t>26/1/2026</t>
  </si>
  <si>
    <t>28/1/2026</t>
  </si>
  <si>
    <t>27/1/2026</t>
  </si>
  <si>
    <t>29/1/2026</t>
  </si>
  <si>
    <t>31/1/2026</t>
  </si>
  <si>
    <t>DANIEL MBUTHIA</t>
  </si>
  <si>
    <t>1349400866</t>
  </si>
  <si>
    <t xml:space="preserve">                  </t>
  </si>
  <si>
    <t>15/2/2026</t>
  </si>
  <si>
    <t>14/2/2026</t>
  </si>
  <si>
    <t>16/2/2026</t>
  </si>
  <si>
    <t>18/2/2026</t>
  </si>
  <si>
    <t>17/2/2026</t>
  </si>
  <si>
    <t>19/2/2026</t>
  </si>
  <si>
    <t>20/2/2025</t>
  </si>
  <si>
    <t>21/2/2026</t>
  </si>
  <si>
    <t>22/2/2025</t>
  </si>
  <si>
    <t>23/2/2026</t>
  </si>
  <si>
    <t>26/2/2026</t>
  </si>
  <si>
    <t>24/2/2026</t>
  </si>
  <si>
    <t>27/2/2026</t>
  </si>
  <si>
    <t>28/2/2026</t>
  </si>
  <si>
    <t>1350078530</t>
  </si>
  <si>
    <t>43</t>
  </si>
  <si>
    <t>GLORY KINYA</t>
  </si>
  <si>
    <t>0740316433</t>
  </si>
  <si>
    <t>44</t>
  </si>
  <si>
    <t>WILSON CHEGE GITAU</t>
  </si>
  <si>
    <t>0220184997223</t>
  </si>
  <si>
    <t>45</t>
  </si>
  <si>
    <t>PECKER TOTALS</t>
  </si>
  <si>
    <t>ROBERT RONOH</t>
  </si>
  <si>
    <t>0724290304</t>
  </si>
  <si>
    <t>46</t>
  </si>
  <si>
    <t xml:space="preserve">RICHARD KIMATHI MURIUNGI </t>
  </si>
  <si>
    <t>SAFFRON/CORNELLS</t>
  </si>
  <si>
    <t>13/3/2026</t>
  </si>
  <si>
    <t>14/3/2026</t>
  </si>
  <si>
    <t>MORIS MUIA MUYANGA</t>
  </si>
  <si>
    <t>15/3/2026</t>
  </si>
  <si>
    <t>16/3/2026</t>
  </si>
  <si>
    <t>17/3/2026</t>
  </si>
  <si>
    <t>19/3/2026</t>
  </si>
  <si>
    <t>20/3/2026</t>
  </si>
  <si>
    <t>21/3/2026</t>
  </si>
  <si>
    <t>22/3/2026</t>
  </si>
  <si>
    <t>23/3/2026</t>
  </si>
  <si>
    <t>25/3/2026</t>
  </si>
  <si>
    <t>27/3/2026</t>
  </si>
  <si>
    <t>29/3/2026</t>
  </si>
  <si>
    <t>31/3/2026</t>
  </si>
  <si>
    <t>062000048285</t>
  </si>
  <si>
    <t>15/4/2026</t>
  </si>
  <si>
    <t>16/4/2026</t>
  </si>
  <si>
    <t>18/4/2026</t>
  </si>
  <si>
    <t>19/4/2026</t>
  </si>
  <si>
    <t>22/4/2026</t>
  </si>
  <si>
    <t>26/4/2026</t>
  </si>
  <si>
    <t>27/4/2026</t>
  </si>
  <si>
    <t>29/4/2026</t>
  </si>
  <si>
    <t>2042017217002</t>
  </si>
  <si>
    <t>SHA</t>
  </si>
  <si>
    <t>ALLOWANCES</t>
  </si>
  <si>
    <t>JAMLICK THIURU</t>
  </si>
  <si>
    <t>JOHN KARIUKI MWANGI</t>
  </si>
  <si>
    <t>12,13,14,15/5/2026</t>
  </si>
  <si>
    <t>17,18/05/2026</t>
  </si>
  <si>
    <t>6,7,8,9,/5/2026</t>
  </si>
  <si>
    <t>20/05/2026</t>
  </si>
  <si>
    <t>21/05/2026</t>
  </si>
  <si>
    <t>22/05/2026</t>
  </si>
  <si>
    <t>23,24,25/05/2026</t>
  </si>
  <si>
    <t>27,28/05/2026</t>
  </si>
  <si>
    <t>29,30,31/5/2026</t>
  </si>
  <si>
    <t>DUNCAN WANYONYI</t>
  </si>
  <si>
    <t xml:space="preserve">DIAMOND </t>
  </si>
  <si>
    <t>LUNCH/TRANS.</t>
  </si>
  <si>
    <t>1353632806</t>
  </si>
  <si>
    <t>JAMES GATIMU MWAURA</t>
  </si>
  <si>
    <t>NEVERSTONE MWIRUTHI</t>
  </si>
  <si>
    <t xml:space="preserve">NICHOLAS MUTUMA </t>
  </si>
  <si>
    <t>JOSEPH MWINGIRWA BARIU</t>
  </si>
  <si>
    <t>TONNY MURITHI</t>
  </si>
  <si>
    <t>015000010553</t>
  </si>
  <si>
    <t>47</t>
  </si>
  <si>
    <t>48</t>
  </si>
  <si>
    <t>FRIDAH KARIMI</t>
  </si>
  <si>
    <t>01102173778002</t>
  </si>
  <si>
    <t>0716598698</t>
  </si>
  <si>
    <t>2-4/6/2026</t>
  </si>
  <si>
    <t>6-7/6/2026</t>
  </si>
  <si>
    <t>1353704696</t>
  </si>
  <si>
    <t>JENIS NANAAH</t>
  </si>
  <si>
    <t>8-11/6/2026</t>
  </si>
  <si>
    <t>13-16/06/2026</t>
  </si>
  <si>
    <t>17-22/06/2026</t>
  </si>
  <si>
    <t>23/06/2026</t>
  </si>
  <si>
    <t>24/06/2026</t>
  </si>
  <si>
    <t>26/06/2026</t>
  </si>
  <si>
    <t>28/06/2026</t>
  </si>
  <si>
    <t>30/06/2026</t>
  </si>
  <si>
    <t>91831015349010</t>
  </si>
  <si>
    <t>01103147587001</t>
  </si>
  <si>
    <t>NELIUD ANJIMBI</t>
  </si>
  <si>
    <t>RUTH OTIENO</t>
  </si>
  <si>
    <t>STALLONE MUEMA</t>
  </si>
  <si>
    <t>0797618796</t>
  </si>
  <si>
    <t>6032019662002</t>
  </si>
  <si>
    <t>01103176061001</t>
  </si>
  <si>
    <t>1-7/7/2026</t>
  </si>
  <si>
    <t>8-14/7/2026</t>
  </si>
  <si>
    <t>15-21/7/2026</t>
  </si>
  <si>
    <t>22-31/7/2026</t>
  </si>
  <si>
    <t xml:space="preserve">DINAHVENT SIRENGA </t>
  </si>
  <si>
    <t>1354907264</t>
  </si>
  <si>
    <t>0726607344</t>
  </si>
  <si>
    <t>WILLISH OYUGI-TEMP. GUARD</t>
  </si>
  <si>
    <t>MWALIMU SACCO</t>
  </si>
  <si>
    <t>315211082002</t>
  </si>
  <si>
    <t>49</t>
  </si>
  <si>
    <t>50</t>
  </si>
  <si>
    <t>DANGUN WANYONYI</t>
  </si>
  <si>
    <t>ABEDNEGO KAVENDI MWANTHI</t>
  </si>
  <si>
    <t>DTB</t>
  </si>
  <si>
    <t>5593813001</t>
  </si>
  <si>
    <t>51</t>
  </si>
  <si>
    <t>PAULINE KAWIRA</t>
  </si>
  <si>
    <t>1331217040</t>
  </si>
  <si>
    <t>01-08/08/2026</t>
  </si>
  <si>
    <t>09-15/08/2026</t>
  </si>
  <si>
    <t>16-22/08/2026</t>
  </si>
  <si>
    <t>23-31/08/2026</t>
  </si>
  <si>
    <t>GEOFFREY SORE MULI</t>
  </si>
  <si>
    <t>WELFARE</t>
  </si>
  <si>
    <t>CHARLES MAITHA EMMANUEL</t>
  </si>
  <si>
    <t>1356095887</t>
  </si>
  <si>
    <t>NICHOLAS MUTUMA</t>
  </si>
  <si>
    <t>01103344681001</t>
  </si>
  <si>
    <t>01103098772001</t>
  </si>
  <si>
    <t>01103389812001</t>
  </si>
  <si>
    <t>01103385456001</t>
  </si>
  <si>
    <t>01116187327200</t>
  </si>
  <si>
    <t>01103391865001</t>
  </si>
  <si>
    <t>01103370158001</t>
  </si>
  <si>
    <t>01103380417001</t>
  </si>
  <si>
    <t>01103380168001</t>
  </si>
  <si>
    <t>01103380354001</t>
  </si>
  <si>
    <t>01103370976001</t>
  </si>
  <si>
    <t>01103393527001</t>
  </si>
  <si>
    <t>01103344138001</t>
  </si>
  <si>
    <t>01103363659001</t>
  </si>
  <si>
    <t>01103366797001</t>
  </si>
  <si>
    <t>01103344197001</t>
  </si>
  <si>
    <t>01103348312001</t>
  </si>
  <si>
    <t>01103344373001</t>
  </si>
  <si>
    <t>01103344214001</t>
  </si>
  <si>
    <t>01104751604001</t>
  </si>
  <si>
    <t>01103344205001</t>
  </si>
  <si>
    <t>01103364580001</t>
  </si>
  <si>
    <t>01103363425001</t>
  </si>
  <si>
    <t>01107143946001</t>
  </si>
  <si>
    <t>PENSION</t>
  </si>
  <si>
    <t>NSSF TIER 1</t>
  </si>
  <si>
    <t>BRITAM TIER 2</t>
  </si>
  <si>
    <t>SHIF</t>
  </si>
  <si>
    <t>01103344323001</t>
  </si>
  <si>
    <t>01103400308001</t>
  </si>
  <si>
    <t>01103363525001</t>
  </si>
  <si>
    <t>01102161561001</t>
  </si>
  <si>
    <t>TOTAL O/T</t>
  </si>
  <si>
    <t>01-07/09/2026</t>
  </si>
  <si>
    <t>01103370453001</t>
  </si>
  <si>
    <t>01103401448001</t>
  </si>
  <si>
    <t>01102146386001</t>
  </si>
  <si>
    <t>08-14/09/2026</t>
  </si>
  <si>
    <t>15-21/09/2026</t>
  </si>
  <si>
    <t>22-30/09/2026</t>
  </si>
  <si>
    <t>LEAVE PAY</t>
  </si>
  <si>
    <t>01103400765002</t>
  </si>
  <si>
    <t>01103367303001</t>
  </si>
  <si>
    <t>01103371060001</t>
  </si>
  <si>
    <t>01103410405001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</si>
</sst>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1">
    <xf numFmtId="0" fontId="0" fillId="0" borderId="0" xfId="0"/>
    <xf numFmtId="17" fontId="3" fillId="0" borderId="1" xfId="1" applyNumberFormat="1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43" fontId="3" fillId="0" borderId="2" xfId="1" applyFont="1" applyBorder="1" applyAlignment="1"/>
    <xf numFmtId="43" fontId="3" fillId="0" borderId="3" xfId="1" applyFont="1" applyBorder="1" applyAlignment="1"/>
    <xf numFmtId="43" fontId="4" fillId="0" borderId="5" xfId="1" applyFont="1" applyBorder="1"/>
    <xf numFmtId="43" fontId="3" fillId="0" borderId="4" xfId="1" applyFont="1" applyBorder="1"/>
    <xf numFmtId="43" fontId="3" fillId="2" borderId="3" xfId="1" applyFont="1" applyFill="1" applyBorder="1"/>
    <xf numFmtId="17" fontId="2" fillId="0" borderId="4" xfId="1" applyNumberFormat="1" applyFont="1" applyBorder="1"/>
    <xf numFmtId="49" fontId="1" fillId="0" borderId="4" xfId="1" applyNumberFormat="1" applyFont="1" applyBorder="1"/>
    <xf numFmtId="0" fontId="1" fillId="0" borderId="4" xfId="0" applyFont="1" applyBorder="1"/>
    <xf numFmtId="49" fontId="1" fillId="0" borderId="4" xfId="0" applyNumberFormat="1" applyFont="1" applyBorder="1"/>
    <xf numFmtId="43" fontId="1" fillId="0" borderId="4" xfId="1" applyFont="1" applyBorder="1"/>
    <xf numFmtId="43" fontId="0" fillId="0" borderId="4" xfId="1" applyFont="1" applyBorder="1"/>
    <xf numFmtId="43" fontId="1" fillId="2" borderId="4" xfId="1" applyFont="1" applyFill="1" applyBorder="1"/>
    <xf numFmtId="43" fontId="2" fillId="0" borderId="4" xfId="1" applyFont="1" applyFill="1" applyBorder="1"/>
    <xf numFmtId="43" fontId="3" fillId="0" borderId="4" xfId="0" applyNumberFormat="1" applyFont="1" applyBorder="1"/>
    <xf numFmtId="43" fontId="2" fillId="0" borderId="4" xfId="1" applyFont="1" applyBorder="1"/>
    <xf numFmtId="0" fontId="0" fillId="0" borderId="4" xfId="0" applyBorder="1"/>
    <xf numFmtId="0" fontId="6" fillId="0" borderId="4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8" xfId="0" applyFont="1" applyBorder="1"/>
    <xf numFmtId="43" fontId="0" fillId="0" borderId="5" xfId="1" applyFont="1" applyBorder="1"/>
    <xf numFmtId="43" fontId="2" fillId="0" borderId="3" xfId="1" applyFont="1" applyBorder="1"/>
    <xf numFmtId="0" fontId="0" fillId="0" borderId="7" xfId="0" applyBorder="1"/>
    <xf numFmtId="0" fontId="7" fillId="0" borderId="8" xfId="0" applyFont="1" applyBorder="1" applyAlignment="1">
      <alignment horizontal="left"/>
    </xf>
    <xf numFmtId="49" fontId="7" fillId="0" borderId="8" xfId="0" applyNumberFormat="1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43" fontId="3" fillId="2" borderId="9" xfId="1" applyFont="1" applyFill="1" applyBorder="1"/>
    <xf numFmtId="43" fontId="4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9" xfId="0" applyFont="1" applyBorder="1"/>
    <xf numFmtId="43" fontId="3" fillId="0" borderId="9" xfId="1" applyFont="1" applyBorder="1"/>
    <xf numFmtId="43" fontId="1" fillId="0" borderId="9" xfId="1" applyFont="1" applyBorder="1"/>
    <xf numFmtId="43" fontId="4" fillId="0" borderId="9" xfId="1" applyFont="1" applyBorder="1"/>
    <xf numFmtId="0" fontId="3" fillId="0" borderId="3" xfId="0" applyFont="1" applyBorder="1"/>
    <xf numFmtId="0" fontId="1" fillId="0" borderId="5" xfId="0" applyFont="1" applyBorder="1"/>
    <xf numFmtId="49" fontId="1" fillId="0" borderId="5" xfId="0" applyNumberFormat="1" applyFont="1" applyBorder="1"/>
    <xf numFmtId="43" fontId="1" fillId="0" borderId="5" xfId="1" applyFont="1" applyBorder="1"/>
    <xf numFmtId="43" fontId="0" fillId="2" borderId="5" xfId="1" applyFont="1" applyFill="1" applyBorder="1"/>
    <xf numFmtId="43" fontId="3" fillId="0" borderId="5" xfId="1" applyFont="1" applyBorder="1"/>
    <xf numFmtId="43" fontId="2" fillId="0" borderId="5" xfId="1" applyFont="1" applyBorder="1"/>
    <xf numFmtId="0" fontId="6" fillId="0" borderId="8" xfId="0" applyFont="1" applyBorder="1"/>
    <xf numFmtId="49" fontId="1" fillId="0" borderId="7" xfId="0" applyNumberFormat="1" applyFont="1" applyBorder="1"/>
    <xf numFmtId="43" fontId="1" fillId="0" borderId="7" xfId="1" applyFont="1" applyBorder="1"/>
    <xf numFmtId="43" fontId="2" fillId="0" borderId="7" xfId="1" applyFont="1" applyBorder="1"/>
    <xf numFmtId="0" fontId="0" fillId="0" borderId="1" xfId="0" applyBorder="1"/>
    <xf numFmtId="49" fontId="3" fillId="0" borderId="4" xfId="0" applyNumberFormat="1" applyFont="1" applyBorder="1"/>
    <xf numFmtId="43" fontId="3" fillId="2" borderId="5" xfId="1" applyFont="1" applyFill="1" applyBorder="1"/>
    <xf numFmtId="43" fontId="4" fillId="0" borderId="4" xfId="0" applyNumberFormat="1" applyFont="1" applyBorder="1"/>
    <xf numFmtId="0" fontId="0" fillId="0" borderId="2" xfId="0" applyBorder="1"/>
    <xf numFmtId="49" fontId="1" fillId="0" borderId="2" xfId="0" applyNumberFormat="1" applyFont="1" applyBorder="1"/>
    <xf numFmtId="43" fontId="1" fillId="0" borderId="2" xfId="1" applyFont="1" applyBorder="1"/>
    <xf numFmtId="43" fontId="0" fillId="0" borderId="2" xfId="1" applyFont="1" applyBorder="1"/>
    <xf numFmtId="43" fontId="0" fillId="2" borderId="2" xfId="1" applyFont="1" applyFill="1" applyBorder="1"/>
    <xf numFmtId="43" fontId="3" fillId="0" borderId="2" xfId="1" applyFont="1" applyBorder="1"/>
    <xf numFmtId="43" fontId="2" fillId="0" borderId="2" xfId="1" applyFont="1" applyBorder="1"/>
    <xf numFmtId="0" fontId="3" fillId="0" borderId="10" xfId="0" applyFont="1" applyBorder="1"/>
    <xf numFmtId="0" fontId="7" fillId="0" borderId="4" xfId="0" applyFont="1" applyBorder="1"/>
    <xf numFmtId="0" fontId="8" fillId="0" borderId="4" xfId="0" applyFont="1" applyBorder="1"/>
    <xf numFmtId="0" fontId="3" fillId="0" borderId="11" xfId="0" applyFont="1" applyBorder="1"/>
    <xf numFmtId="43" fontId="3" fillId="0" borderId="11" xfId="1" applyFont="1" applyFill="1" applyBorder="1"/>
    <xf numFmtId="43" fontId="3" fillId="2" borderId="11" xfId="1" applyFont="1" applyFill="1" applyBorder="1"/>
    <xf numFmtId="43" fontId="3" fillId="0" borderId="11" xfId="1" applyFont="1" applyBorder="1"/>
    <xf numFmtId="43" fontId="4" fillId="0" borderId="11" xfId="1" applyFont="1" applyBorder="1"/>
    <xf numFmtId="43" fontId="5" fillId="0" borderId="11" xfId="1" applyFont="1" applyBorder="1"/>
    <xf numFmtId="49" fontId="1" fillId="0" borderId="12" xfId="0" applyNumberFormat="1" applyFont="1" applyBorder="1"/>
    <xf numFmtId="14" fontId="3" fillId="0" borderId="4" xfId="0" applyNumberFormat="1" applyFont="1" applyBorder="1"/>
    <xf numFmtId="14" fontId="3" fillId="0" borderId="4" xfId="1" applyNumberFormat="1" applyFont="1" applyBorder="1"/>
    <xf numFmtId="14" fontId="3" fillId="0" borderId="3" xfId="1" applyNumberFormat="1" applyFont="1" applyBorder="1"/>
    <xf numFmtId="43" fontId="3" fillId="0" borderId="9" xfId="0" applyNumberFormat="1" applyFont="1" applyBorder="1"/>
    <xf numFmtId="2" fontId="1" fillId="0" borderId="4" xfId="0" applyNumberFormat="1" applyFont="1" applyBorder="1"/>
    <xf numFmtId="2" fontId="1" fillId="0" borderId="4" xfId="1" applyNumberFormat="1" applyFont="1" applyBorder="1"/>
    <xf numFmtId="2" fontId="0" fillId="0" borderId="4" xfId="1" applyNumberFormat="1" applyFont="1" applyBorder="1"/>
    <xf numFmtId="2" fontId="7" fillId="0" borderId="8" xfId="0" applyNumberFormat="1" applyFont="1" applyBorder="1"/>
    <xf numFmtId="2" fontId="7" fillId="0" borderId="4" xfId="1" applyNumberFormat="1" applyFont="1" applyBorder="1"/>
    <xf numFmtId="2" fontId="0" fillId="0" borderId="5" xfId="1" applyNumberFormat="1" applyFont="1" applyBorder="1"/>
    <xf numFmtId="2" fontId="7" fillId="0" borderId="8" xfId="0" applyNumberFormat="1" applyFont="1" applyBorder="1" applyAlignment="1">
      <alignment horizontal="left"/>
    </xf>
    <xf numFmtId="2" fontId="7" fillId="0" borderId="4" xfId="1" applyNumberFormat="1" applyFont="1" applyBorder="1" applyAlignment="1">
      <alignment horizontal="left"/>
    </xf>
    <xf numFmtId="43" fontId="0" fillId="0" borderId="0" xfId="1" applyFont="1"/>
    <xf numFmtId="43" fontId="1" fillId="2" borderId="3" xfId="1" applyFont="1" applyFill="1" applyBorder="1"/>
    <xf numFmtId="43" fontId="0" fillId="0" borderId="0" xfId="1" applyFont="1" applyBorder="1"/>
    <xf numFmtId="2" fontId="0" fillId="0" borderId="9" xfId="1" applyNumberFormat="1" applyFont="1" applyBorder="1"/>
    <xf numFmtId="43" fontId="1" fillId="2" borderId="9" xfId="1" applyFont="1" applyFill="1" applyBorder="1"/>
    <xf numFmtId="43" fontId="3" fillId="2" borderId="4" xfId="1" applyFont="1" applyFill="1" applyBorder="1"/>
    <xf numFmtId="49" fontId="1" fillId="0" borderId="7" xfId="1" applyNumberFormat="1" applyFont="1" applyBorder="1"/>
    <xf numFmtId="43" fontId="2" fillId="0" borderId="13" xfId="1" applyFont="1" applyBorder="1"/>
    <xf numFmtId="43" fontId="3" fillId="0" borderId="7" xfId="0" applyNumberFormat="1" applyFont="1" applyBorder="1"/>
    <xf numFmtId="49" fontId="1" fillId="0" borderId="1" xfId="1" applyNumberFormat="1" applyFont="1" applyBorder="1"/>
    <xf numFmtId="0" fontId="1" fillId="0" borderId="10" xfId="0" applyFont="1" applyBorder="1"/>
    <xf numFmtId="49" fontId="1" fillId="0" borderId="9" xfId="0" applyNumberFormat="1" applyFont="1" applyBorder="1"/>
    <xf numFmtId="43" fontId="2" fillId="0" borderId="9" xfId="1" applyFont="1" applyBorder="1"/>
    <xf numFmtId="43" fontId="3" fillId="0" borderId="3" xfId="0" applyNumberFormat="1" applyFont="1" applyBorder="1"/>
    <xf numFmtId="49" fontId="3" fillId="0" borderId="4" xfId="1" applyNumberFormat="1" applyFont="1" applyBorder="1"/>
    <xf numFmtId="43" fontId="3" fillId="0" borderId="4" xfId="1" applyFont="1" applyFill="1" applyBorder="1"/>
    <xf numFmtId="0" fontId="3" fillId="0" borderId="0" xfId="0" applyFont="1"/>
    <xf numFmtId="0" fontId="0" fillId="0" borderId="4" xfId="0" applyBorder="1" applyAlignment="1">
      <alignment horizontal="left"/>
    </xf>
    <xf numFmtId="43" fontId="0" fillId="2" borderId="4" xfId="1" applyFont="1" applyFill="1" applyBorder="1"/>
    <xf numFmtId="43" fontId="0" fillId="0" borderId="2" xfId="1" applyFont="1" applyFill="1" applyBorder="1"/>
    <xf numFmtId="43" fontId="7" fillId="0" borderId="4" xfId="1" applyFont="1" applyBorder="1"/>
    <xf numFmtId="43" fontId="7" fillId="0" borderId="4" xfId="1" applyFont="1" applyBorder="1" applyAlignment="1">
      <alignment horizontal="left"/>
    </xf>
    <xf numFmtId="43" fontId="7" fillId="0" borderId="5" xfId="1" applyFont="1" applyBorder="1"/>
    <xf numFmtId="43" fontId="7" fillId="0" borderId="5" xfId="1" applyFont="1" applyBorder="1" applyAlignment="1">
      <alignment horizontal="left"/>
    </xf>
    <xf numFmtId="43" fontId="7" fillId="0" borderId="12" xfId="1" applyFont="1" applyBorder="1" applyAlignment="1">
      <alignment horizontal="left"/>
    </xf>
    <xf numFmtId="14" fontId="3" fillId="0" borderId="0" xfId="0" applyNumberFormat="1" applyFont="1"/>
    <xf numFmtId="43" fontId="4" fillId="0" borderId="4" xfId="1" applyFont="1" applyFill="1" applyBorder="1"/>
    <xf numFmtId="43" fontId="9" fillId="0" borderId="4" xfId="1" applyFont="1" applyBorder="1"/>
    <xf numFmtId="17" fontId="9" fillId="0" borderId="4" xfId="1" applyNumberFormat="1" applyFont="1" applyBorder="1"/>
    <xf numFmtId="43" fontId="3" fillId="0" borderId="4" xfId="1" applyFont="1" applyBorder="1" applyAlignment="1"/>
    <xf numFmtId="43" fontId="9" fillId="0" borderId="4" xfId="1" applyFont="1" applyFill="1" applyBorder="1"/>
    <xf numFmtId="17" fontId="3" fillId="0" borderId="4" xfId="1" applyNumberFormat="1" applyFont="1" applyBorder="1" applyAlignment="1">
      <alignment horizontal="center"/>
    </xf>
    <xf numFmtId="49" fontId="7" fillId="0" borderId="4" xfId="1" applyNumberFormat="1" applyFont="1" applyBorder="1"/>
    <xf numFmtId="49" fontId="7" fillId="0" borderId="4" xfId="0" applyNumberFormat="1" applyFont="1" applyBorder="1" applyAlignment="1">
      <alignment horizontal="left"/>
    </xf>
    <xf numFmtId="43" fontId="0" fillId="0" borderId="4" xfId="1" applyFont="1" applyFill="1" applyBorder="1"/>
    <xf numFmtId="49" fontId="0" fillId="0" borderId="4" xfId="1" applyNumberFormat="1" applyFont="1" applyBorder="1"/>
    <xf numFmtId="17" fontId="3" fillId="0" borderId="4" xfId="1" applyNumberFormat="1" applyFont="1" applyBorder="1" applyAlignment="1"/>
    <xf numFmtId="17" fontId="8" fillId="0" borderId="4" xfId="1" applyNumberFormat="1" applyFont="1" applyBorder="1" applyAlignment="1"/>
    <xf numFmtId="17" fontId="10" fillId="0" borderId="4" xfId="1" applyNumberFormat="1" applyFont="1" applyBorder="1"/>
    <xf numFmtId="43" fontId="10" fillId="0" borderId="4" xfId="1" applyFont="1" applyFill="1" applyBorder="1"/>
    <xf numFmtId="43" fontId="10" fillId="0" borderId="4" xfId="1" applyFont="1" applyBorder="1"/>
    <xf numFmtId="43" fontId="8" fillId="0" borderId="4" xfId="1" applyFont="1" applyFill="1" applyBorder="1"/>
    <xf numFmtId="43" fontId="8" fillId="0" borderId="4" xfId="1" applyFont="1" applyBorder="1"/>
    <xf numFmtId="43" fontId="8" fillId="0" borderId="4" xfId="0" applyNumberFormat="1" applyFont="1" applyBorder="1"/>
    <xf numFmtId="0" fontId="10" fillId="0" borderId="4" xfId="0" applyFont="1" applyBorder="1"/>
    <xf numFmtId="0" fontId="10" fillId="0" borderId="0" xfId="0" applyFont="1"/>
    <xf numFmtId="43" fontId="1" fillId="0" borderId="4" xfId="1" applyFont="1" applyFill="1" applyBorder="1"/>
    <xf numFmtId="0" fontId="3" fillId="0" borderId="3" xfId="0" applyFont="1" applyBorder="1" applyAlignment="1">
      <alignment horizontal="center"/>
    </xf>
    <xf numFmtId="49" fontId="1" fillId="0" borderId="4" xfId="1" applyNumberFormat="1" applyFont="1" applyFill="1" applyBorder="1"/>
    <xf numFmtId="43" fontId="0" fillId="0" borderId="0" xfId="1" applyFont="1" applyFill="1"/>
    <xf numFmtId="49" fontId="1" fillId="0" borderId="5" xfId="1" applyNumberFormat="1" applyFont="1" applyBorder="1"/>
    <xf numFmtId="43" fontId="1" fillId="2" borderId="14" xfId="1" applyFont="1" applyFill="1" applyBorder="1"/>
    <xf numFmtId="43" fontId="3" fillId="0" borderId="5" xfId="0" applyNumberFormat="1" applyFont="1" applyBorder="1"/>
    <xf numFmtId="0" fontId="1" fillId="0" borderId="12" xfId="0" applyFont="1" applyBorder="1"/>
    <xf numFmtId="0" fontId="1" fillId="0" borderId="15" xfId="0" applyFont="1" applyBorder="1"/>
    <xf numFmtId="0" fontId="0" fillId="0" borderId="12" xfId="0" applyBorder="1"/>
    <xf numFmtId="49" fontId="7" fillId="0" borderId="15" xfId="0" applyNumberFormat="1" applyFont="1" applyBorder="1" applyAlignment="1">
      <alignment horizontal="left"/>
    </xf>
    <xf numFmtId="43" fontId="2" fillId="0" borderId="14" xfId="1" applyFont="1" applyBorder="1"/>
    <xf numFmtId="0" fontId="7" fillId="0" borderId="4" xfId="0" applyFont="1" applyBorder="1" applyAlignment="1">
      <alignment horizontal="left"/>
    </xf>
    <xf numFmtId="43" fontId="3" fillId="0" borderId="3" xfId="1" applyFont="1" applyBorder="1"/>
    <xf numFmtId="43" fontId="7" fillId="0" borderId="4" xfId="1" applyFont="1" applyFill="1" applyBorder="1" applyAlignment="1">
      <alignment horizontal="left"/>
    </xf>
    <xf numFmtId="49" fontId="2" fillId="0" borderId="4" xfId="1" applyNumberFormat="1" applyFont="1" applyFill="1" applyBorder="1"/>
    <xf numFmtId="0" fontId="2" fillId="0" borderId="4" xfId="0" applyFont="1" applyBorder="1"/>
    <xf numFmtId="49" fontId="2" fillId="0" borderId="4" xfId="0" applyNumberFormat="1" applyFont="1" applyBorder="1"/>
    <xf numFmtId="0" fontId="2" fillId="0" borderId="0" xfId="0" applyFont="1"/>
    <xf numFmtId="17" fontId="3" fillId="3" borderId="4" xfId="1" applyNumberFormat="1" applyFont="1" applyFill="1" applyBorder="1" applyAlignment="1"/>
    <xf numFmtId="43" fontId="3" fillId="3" borderId="4" xfId="1" applyFont="1" applyFill="1" applyBorder="1" applyAlignment="1"/>
    <xf numFmtId="43" fontId="3" fillId="3" borderId="4" xfId="1" applyFont="1" applyFill="1" applyBorder="1"/>
    <xf numFmtId="43" fontId="4" fillId="3" borderId="4" xfId="1" applyFont="1" applyFill="1" applyBorder="1"/>
    <xf numFmtId="43" fontId="3" fillId="3" borderId="4" xfId="0" applyNumberFormat="1" applyFont="1" applyFill="1" applyBorder="1"/>
    <xf numFmtId="0" fontId="0" fillId="3" borderId="4" xfId="0" applyFill="1" applyBorder="1"/>
    <xf numFmtId="0" fontId="0" fillId="3" borderId="0" xfId="0" applyFill="1"/>
    <xf numFmtId="17" fontId="3" fillId="4" borderId="4" xfId="1" applyNumberFormat="1" applyFont="1" applyFill="1" applyBorder="1" applyAlignment="1"/>
    <xf numFmtId="43" fontId="3" fillId="4" borderId="4" xfId="1" applyFont="1" applyFill="1" applyBorder="1" applyAlignment="1"/>
    <xf numFmtId="43" fontId="3" fillId="4" borderId="4" xfId="1" applyFont="1" applyFill="1" applyBorder="1"/>
    <xf numFmtId="43" fontId="1" fillId="4" borderId="4" xfId="1" applyFont="1" applyFill="1" applyBorder="1"/>
    <xf numFmtId="0" fontId="0" fillId="4" borderId="0" xfId="0" applyFill="1"/>
    <xf numFmtId="17" fontId="3" fillId="5" borderId="4" xfId="1" applyNumberFormat="1" applyFont="1" applyFill="1" applyBorder="1" applyAlignment="1"/>
    <xf numFmtId="43" fontId="3" fillId="5" borderId="4" xfId="0" applyNumberFormat="1" applyFont="1" applyFill="1" applyBorder="1"/>
    <xf numFmtId="43" fontId="4" fillId="5" borderId="4" xfId="0" applyNumberFormat="1" applyFont="1" applyFill="1" applyBorder="1"/>
    <xf numFmtId="43" fontId="3" fillId="5" borderId="4" xfId="1" applyFont="1" applyFill="1" applyBorder="1"/>
    <xf numFmtId="0" fontId="3" fillId="5" borderId="4" xfId="0" applyFont="1" applyFill="1" applyBorder="1"/>
    <xf numFmtId="0" fontId="0" fillId="5" borderId="4" xfId="0" applyFill="1" applyBorder="1"/>
    <xf numFmtId="0" fontId="0" fillId="5" borderId="0" xfId="0" applyFill="1"/>
    <xf numFmtId="39" fontId="1" fillId="4" borderId="4" xfId="1" applyNumberFormat="1" applyFont="1" applyFill="1" applyBorder="1"/>
    <xf numFmtId="17" fontId="11" fillId="0" borderId="4" xfId="1" applyNumberFormat="1" applyFont="1" applyBorder="1" applyAlignment="1"/>
    <xf numFmtId="17" fontId="12" fillId="0" borderId="4" xfId="1" applyNumberFormat="1" applyFont="1" applyBorder="1"/>
    <xf numFmtId="43" fontId="12" fillId="0" borderId="4" xfId="1" applyFont="1" applyFill="1" applyBorder="1"/>
    <xf numFmtId="43" fontId="12" fillId="0" borderId="4" xfId="1" applyFont="1" applyBorder="1"/>
    <xf numFmtId="43" fontId="11" fillId="0" borderId="4" xfId="1" applyFont="1" applyFill="1" applyBorder="1"/>
    <xf numFmtId="43" fontId="11" fillId="0" borderId="4" xfId="1" applyFont="1" applyBorder="1"/>
    <xf numFmtId="0" fontId="12" fillId="0" borderId="4" xfId="0" applyFont="1" applyBorder="1"/>
    <xf numFmtId="0" fontId="12" fillId="0" borderId="0" xfId="0" applyFont="1"/>
    <xf numFmtId="49" fontId="0" fillId="0" borderId="4" xfId="0" applyNumberFormat="1" applyBorder="1"/>
    <xf numFmtId="43" fontId="1" fillId="0" borderId="3" xfId="1" applyFont="1" applyFill="1" applyBorder="1"/>
    <xf numFmtId="43" fontId="0" fillId="0" borderId="4" xfId="0" applyNumberFormat="1" applyBorder="1"/>
    <xf numFmtId="0" fontId="0" fillId="0" borderId="9" xfId="0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43" fontId="7" fillId="0" borderId="5" xfId="1" applyFont="1" applyFill="1" applyBorder="1" applyAlignment="1">
      <alignment horizontal="left"/>
    </xf>
    <xf numFmtId="43" fontId="2" fillId="0" borderId="3" xfId="1" applyFont="1" applyFill="1" applyBorder="1"/>
    <xf numFmtId="43" fontId="1" fillId="0" borderId="5" xfId="1" applyFont="1" applyFill="1" applyBorder="1"/>
    <xf numFmtId="43" fontId="2" fillId="0" borderId="5" xfId="1" applyFont="1" applyFill="1" applyBorder="1"/>
    <xf numFmtId="49" fontId="7" fillId="0" borderId="4" xfId="1" applyNumberFormat="1" applyFont="1" applyFill="1" applyBorder="1"/>
    <xf numFmtId="43" fontId="7" fillId="0" borderId="4" xfId="1" applyFont="1" applyFill="1" applyBorder="1"/>
    <xf numFmtId="49" fontId="1" fillId="6" borderId="4" xfId="1" applyNumberFormat="1" applyFont="1" applyFill="1" applyBorder="1"/>
    <xf numFmtId="0" fontId="1" fillId="6" borderId="4" xfId="0" applyFont="1" applyFill="1" applyBorder="1"/>
    <xf numFmtId="49" fontId="1" fillId="6" borderId="4" xfId="0" applyNumberFormat="1" applyFont="1" applyFill="1" applyBorder="1"/>
    <xf numFmtId="43" fontId="1" fillId="6" borderId="4" xfId="1" applyFont="1" applyFill="1" applyBorder="1"/>
    <xf numFmtId="43" fontId="3" fillId="6" borderId="4" xfId="1" applyFont="1" applyFill="1" applyBorder="1"/>
    <xf numFmtId="43" fontId="2" fillId="6" borderId="4" xfId="1" applyFont="1" applyFill="1" applyBorder="1"/>
    <xf numFmtId="43" fontId="10" fillId="6" borderId="4" xfId="1" applyFont="1" applyFill="1" applyBorder="1"/>
    <xf numFmtId="43" fontId="12" fillId="6" borderId="4" xfId="1" applyFont="1" applyFill="1" applyBorder="1"/>
    <xf numFmtId="43" fontId="3" fillId="6" borderId="4" xfId="0" applyNumberFormat="1" applyFont="1" applyFill="1" applyBorder="1"/>
    <xf numFmtId="0" fontId="0" fillId="6" borderId="0" xfId="0" applyFill="1"/>
    <xf numFmtId="0" fontId="0" fillId="6" borderId="4" xfId="0" applyFill="1" applyBorder="1"/>
    <xf numFmtId="0" fontId="7" fillId="6" borderId="4" xfId="0" applyFont="1" applyFill="1" applyBorder="1" applyAlignment="1">
      <alignment horizontal="left"/>
    </xf>
    <xf numFmtId="43" fontId="7" fillId="6" borderId="4" xfId="1" applyFont="1" applyFill="1" applyBorder="1" applyAlignment="1">
      <alignment horizontal="left"/>
    </xf>
    <xf numFmtId="0" fontId="0" fillId="6" borderId="4" xfId="0" applyFill="1" applyBorder="1" applyAlignment="1">
      <alignment horizontal="left"/>
    </xf>
    <xf numFmtId="17" fontId="3" fillId="7" borderId="4" xfId="1" applyNumberFormat="1" applyFont="1" applyFill="1" applyBorder="1" applyAlignment="1"/>
    <xf numFmtId="43" fontId="3" fillId="7" borderId="4" xfId="1" applyFont="1" applyFill="1" applyBorder="1" applyAlignment="1"/>
    <xf numFmtId="43" fontId="3" fillId="7" borderId="4" xfId="1" applyFont="1" applyFill="1" applyBorder="1"/>
    <xf numFmtId="43" fontId="1" fillId="7" borderId="4" xfId="1" applyFont="1" applyFill="1" applyBorder="1"/>
    <xf numFmtId="0" fontId="0" fillId="7" borderId="0" xfId="0" applyFill="1"/>
    <xf numFmtId="17" fontId="3" fillId="8" borderId="4" xfId="1" applyNumberFormat="1" applyFont="1" applyFill="1" applyBorder="1" applyAlignment="1"/>
    <xf numFmtId="43" fontId="3" fillId="8" borderId="4" xfId="0" applyNumberFormat="1" applyFont="1" applyFill="1" applyBorder="1"/>
    <xf numFmtId="43" fontId="3" fillId="8" borderId="4" xfId="1" applyFont="1" applyFill="1" applyBorder="1"/>
    <xf numFmtId="0" fontId="0" fillId="8" borderId="0" xfId="0" applyFill="1"/>
    <xf numFmtId="0" fontId="0" fillId="9" borderId="0" xfId="0" applyFill="1"/>
    <xf numFmtId="43" fontId="7" fillId="9" borderId="4" xfId="1" applyFont="1" applyFill="1" applyBorder="1"/>
    <xf numFmtId="43" fontId="5" fillId="9" borderId="4" xfId="1" applyFont="1" applyFill="1" applyBorder="1"/>
    <xf numFmtId="0" fontId="7" fillId="9" borderId="4" xfId="0" applyFont="1" applyFill="1" applyBorder="1"/>
    <xf numFmtId="17" fontId="16" fillId="9" borderId="4" xfId="1" applyNumberFormat="1" applyFont="1" applyFill="1" applyBorder="1"/>
    <xf numFmtId="17" fontId="17" fillId="0" borderId="4" xfId="1" applyNumberFormat="1" applyFont="1" applyBorder="1"/>
    <xf numFmtId="41" fontId="7" fillId="9" borderId="4" xfId="2" applyFont="1" applyFill="1" applyBorder="1"/>
    <xf numFmtId="43" fontId="15" fillId="0" borderId="4" xfId="1" applyFont="1" applyBorder="1"/>
    <xf numFmtId="43" fontId="18" fillId="0" borderId="4" xfId="1" applyFont="1" applyBorder="1"/>
    <xf numFmtId="0" fontId="0" fillId="0" borderId="3" xfId="0" applyBorder="1"/>
    <xf numFmtId="17" fontId="14" fillId="0" borderId="3" xfId="1" applyNumberFormat="1" applyFont="1" applyBorder="1"/>
    <xf numFmtId="43" fontId="4" fillId="0" borderId="3" xfId="1" applyFont="1" applyFill="1" applyBorder="1"/>
    <xf numFmtId="43" fontId="4" fillId="0" borderId="3" xfId="1" applyFont="1" applyBorder="1"/>
    <xf numFmtId="43" fontId="4" fillId="0" borderId="3" xfId="0" applyNumberFormat="1" applyFont="1" applyBorder="1"/>
    <xf numFmtId="43" fontId="3" fillId="3" borderId="16" xfId="1" applyFont="1" applyFill="1" applyBorder="1"/>
    <xf numFmtId="43" fontId="3" fillId="3" borderId="16" xfId="0" applyNumberFormat="1" applyFont="1" applyFill="1" applyBorder="1"/>
    <xf numFmtId="0" fontId="0" fillId="3" borderId="16" xfId="0" applyFill="1" applyBorder="1"/>
    <xf numFmtId="0" fontId="0" fillId="3" borderId="17" xfId="0" applyFill="1" applyBorder="1"/>
    <xf numFmtId="17" fontId="3" fillId="0" borderId="1" xfId="1" applyNumberFormat="1" applyFont="1" applyBorder="1" applyAlignment="1"/>
    <xf numFmtId="17" fontId="3" fillId="0" borderId="2" xfId="1" applyNumberFormat="1" applyFont="1" applyBorder="1" applyAlignment="1"/>
    <xf numFmtId="17" fontId="3" fillId="0" borderId="3" xfId="1" applyNumberFormat="1" applyFont="1" applyBorder="1" applyAlignment="1"/>
    <xf numFmtId="43" fontId="4" fillId="0" borderId="1" xfId="1" applyFont="1" applyBorder="1" applyAlignment="1">
      <alignment horizontal="center"/>
    </xf>
    <xf numFmtId="43" fontId="4" fillId="0" borderId="2" xfId="1" applyFont="1" applyBorder="1" applyAlignment="1">
      <alignment horizontal="center"/>
    </xf>
    <xf numFmtId="43" fontId="4" fillId="0" borderId="3" xfId="1" applyFont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3" fontId="3" fillId="3" borderId="19" xfId="1" applyFont="1" applyFill="1" applyBorder="1" applyAlignment="1">
      <alignment horizontal="center"/>
    </xf>
    <xf numFmtId="43" fontId="3" fillId="3" borderId="20" xfId="1" applyFont="1" applyFill="1" applyBorder="1" applyAlignment="1">
      <alignment horizontal="center"/>
    </xf>
    <xf numFmtId="43" fontId="3" fillId="0" borderId="8" xfId="1" applyFont="1" applyBorder="1" applyAlignment="1">
      <alignment horizontal="center"/>
    </xf>
    <xf numFmtId="43" fontId="3" fillId="0" borderId="13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14" xfId="1" applyFont="1" applyBorder="1" applyAlignment="1">
      <alignment horizontal="center"/>
    </xf>
    <xf numFmtId="17" fontId="3" fillId="0" borderId="1" xfId="1" applyNumberFormat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7" fontId="3" fillId="0" borderId="3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" fontId="3" fillId="0" borderId="4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A583-1696-4DC6-B501-653A640ACF1D}">
  <sheetPr>
    <pageSetUpPr fitToPage="1"/>
  </sheetPr>
  <dimension ref="A1:AJ73"/>
  <sheetViews>
    <sheetView tabSelected="1" zoomScale="85" zoomScaleNormal="85" workbookViewId="0">
      <selection activeCell="AH6" sqref="AH6"/>
    </sheetView>
  </sheetViews>
  <sheetFormatPr defaultRowHeight="15" x14ac:dyDescent="0.25"/>
  <cols>
    <col min="1" max="1" width="15.85546875" bestFit="1" customWidth="1"/>
    <col min="2" max="2" width="27.140625" bestFit="1" customWidth="1"/>
    <col min="3" max="3" width="16.7109375" bestFit="1" customWidth="1"/>
    <col min="4" max="4" width="15.42578125" bestFit="1" customWidth="1"/>
    <col min="5" max="13" width="8.85546875" hidden="1" customWidth="1"/>
    <col min="14" max="19" width="9.85546875" hidden="1" customWidth="1"/>
    <col min="20" max="20" width="10.85546875" hidden="1" customWidth="1"/>
    <col min="21" max="26" width="9.85546875" hidden="1" customWidth="1"/>
    <col min="27" max="30" width="9.85546875" bestFit="1" customWidth="1"/>
    <col min="31" max="31" width="11.7109375" style="85" bestFit="1" customWidth="1"/>
    <col min="32" max="32" width="14.85546875" bestFit="1" customWidth="1"/>
    <col min="33" max="33" width="20.28515625" bestFit="1" customWidth="1"/>
    <col min="34" max="34" width="13.28515625" bestFit="1" customWidth="1"/>
    <col min="35" max="35" width="14.140625" bestFit="1" customWidth="1"/>
    <col min="36" max="36" width="13.28515625" bestFit="1" customWidth="1"/>
  </cols>
  <sheetData>
    <row r="1" spans="1:36" x14ac:dyDescent="0.25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1"/>
    </row>
    <row r="2" spans="1:36" x14ac:dyDescent="0.25">
      <c r="A2" s="1">
        <v>46023</v>
      </c>
      <c r="B2" s="249" t="s">
        <v>1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1"/>
    </row>
    <row r="3" spans="1:36" x14ac:dyDescent="0.25">
      <c r="A3" s="2" t="s">
        <v>2</v>
      </c>
      <c r="B3" s="3"/>
      <c r="C3" s="4"/>
      <c r="D3" s="3"/>
      <c r="E3" s="239" t="s">
        <v>9</v>
      </c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5"/>
      <c r="AF3" s="5"/>
      <c r="AG3" s="5"/>
      <c r="AH3" s="6"/>
      <c r="AI3" s="7" t="s">
        <v>3</v>
      </c>
      <c r="AJ3" s="252" t="s">
        <v>4</v>
      </c>
    </row>
    <row r="4" spans="1:36" x14ac:dyDescent="0.25">
      <c r="A4" s="2" t="s">
        <v>5</v>
      </c>
      <c r="B4" s="2" t="s">
        <v>6</v>
      </c>
      <c r="C4" s="2" t="s">
        <v>7</v>
      </c>
      <c r="D4" s="2" t="s">
        <v>8</v>
      </c>
      <c r="E4" s="73">
        <v>46023</v>
      </c>
      <c r="F4" s="73">
        <v>45689</v>
      </c>
      <c r="G4" s="74">
        <v>45717</v>
      </c>
      <c r="H4" s="75">
        <v>45748</v>
      </c>
      <c r="I4" s="75">
        <v>45778</v>
      </c>
      <c r="J4" s="75">
        <v>46174</v>
      </c>
      <c r="K4" s="75">
        <v>46204</v>
      </c>
      <c r="L4" s="75">
        <v>46235</v>
      </c>
      <c r="M4" s="75">
        <v>46266</v>
      </c>
      <c r="N4" s="75">
        <v>46296</v>
      </c>
      <c r="O4" s="75">
        <v>46327</v>
      </c>
      <c r="P4" s="75">
        <v>45992</v>
      </c>
      <c r="Q4" s="75" t="s">
        <v>185</v>
      </c>
      <c r="R4" s="75" t="s">
        <v>186</v>
      </c>
      <c r="S4" s="75" t="s">
        <v>187</v>
      </c>
      <c r="T4" s="75" t="s">
        <v>190</v>
      </c>
      <c r="U4" s="75" t="s">
        <v>191</v>
      </c>
      <c r="V4" s="75" t="s">
        <v>188</v>
      </c>
      <c r="W4" s="75" t="s">
        <v>189</v>
      </c>
      <c r="X4" s="75" t="s">
        <v>192</v>
      </c>
      <c r="Y4" s="75" t="s">
        <v>193</v>
      </c>
      <c r="Z4" s="75" t="s">
        <v>194</v>
      </c>
      <c r="AA4" s="75" t="s">
        <v>196</v>
      </c>
      <c r="AB4" s="75" t="s">
        <v>195</v>
      </c>
      <c r="AC4" s="75" t="s">
        <v>197</v>
      </c>
      <c r="AD4" s="75" t="s">
        <v>198</v>
      </c>
      <c r="AE4" s="9" t="s">
        <v>9</v>
      </c>
      <c r="AF4" s="8" t="s">
        <v>10</v>
      </c>
      <c r="AG4" s="8" t="s">
        <v>11</v>
      </c>
      <c r="AH4" s="8" t="s">
        <v>12</v>
      </c>
      <c r="AI4" s="10" t="s">
        <v>13</v>
      </c>
      <c r="AJ4" s="253"/>
    </row>
    <row r="5" spans="1:36" x14ac:dyDescent="0.25">
      <c r="A5" s="11" t="s">
        <v>14</v>
      </c>
      <c r="B5" s="12" t="s">
        <v>15</v>
      </c>
      <c r="C5" s="12" t="s">
        <v>16</v>
      </c>
      <c r="D5" s="13">
        <v>2050766384</v>
      </c>
      <c r="E5" s="77"/>
      <c r="F5" s="78"/>
      <c r="G5" s="79">
        <v>1000</v>
      </c>
      <c r="H5" s="79"/>
      <c r="I5" s="79">
        <v>1000</v>
      </c>
      <c r="J5" s="79">
        <v>1000</v>
      </c>
      <c r="K5" s="79"/>
      <c r="L5" s="79">
        <v>1000</v>
      </c>
      <c r="M5" s="79">
        <v>1000</v>
      </c>
      <c r="N5" s="79">
        <v>1000</v>
      </c>
      <c r="O5" s="79">
        <v>1000</v>
      </c>
      <c r="P5" s="79"/>
      <c r="Q5" s="79">
        <v>1000</v>
      </c>
      <c r="R5" s="79">
        <v>1000</v>
      </c>
      <c r="S5" s="79">
        <v>1000</v>
      </c>
      <c r="T5" s="79"/>
      <c r="U5" s="79"/>
      <c r="V5" s="79"/>
      <c r="W5" s="79">
        <v>1000</v>
      </c>
      <c r="X5" s="79">
        <v>500</v>
      </c>
      <c r="Y5" s="79"/>
      <c r="Z5" s="79">
        <v>1000</v>
      </c>
      <c r="AA5" s="79">
        <v>500</v>
      </c>
      <c r="AB5" s="79">
        <v>1000</v>
      </c>
      <c r="AC5" s="79"/>
      <c r="AD5" s="79">
        <v>500</v>
      </c>
      <c r="AE5" s="16">
        <f>SUM(E5:AD5)</f>
        <v>14500</v>
      </c>
      <c r="AF5" s="14">
        <v>25000</v>
      </c>
      <c r="AG5" s="14">
        <v>1800</v>
      </c>
      <c r="AH5" s="8">
        <f>AE5+AF5+AG5</f>
        <v>41300</v>
      </c>
      <c r="AI5" s="17">
        <v>7500</v>
      </c>
      <c r="AJ5" s="18">
        <f>AH5-AI5</f>
        <v>33800</v>
      </c>
    </row>
    <row r="6" spans="1:36" x14ac:dyDescent="0.25">
      <c r="A6" s="11" t="s">
        <v>17</v>
      </c>
      <c r="B6" s="12" t="s">
        <v>18</v>
      </c>
      <c r="C6" s="12" t="s">
        <v>19</v>
      </c>
      <c r="D6" s="13" t="s">
        <v>20</v>
      </c>
      <c r="E6" s="78">
        <v>1000</v>
      </c>
      <c r="F6" s="78"/>
      <c r="G6" s="79"/>
      <c r="H6" s="79">
        <v>1000</v>
      </c>
      <c r="I6" s="79"/>
      <c r="J6" s="79"/>
      <c r="K6" s="79"/>
      <c r="L6" s="79"/>
      <c r="M6" s="79"/>
      <c r="N6" s="79"/>
      <c r="O6" s="79">
        <v>1000</v>
      </c>
      <c r="P6" s="79"/>
      <c r="Q6" s="79"/>
      <c r="R6" s="79"/>
      <c r="S6" s="79"/>
      <c r="T6" s="79"/>
      <c r="U6" s="79">
        <v>1000</v>
      </c>
      <c r="V6" s="79"/>
      <c r="W6" s="79"/>
      <c r="X6" s="79"/>
      <c r="Y6" s="79"/>
      <c r="Z6" s="79"/>
      <c r="AA6" s="79"/>
      <c r="AB6" s="79"/>
      <c r="AC6" s="79"/>
      <c r="AD6" s="79"/>
      <c r="AE6" s="16">
        <f t="shared" ref="AE6:AE46" si="0">SUM(E6:AD6)</f>
        <v>4000</v>
      </c>
      <c r="AF6" s="14">
        <v>25000</v>
      </c>
      <c r="AG6" s="14">
        <v>4600</v>
      </c>
      <c r="AH6" s="8">
        <f t="shared" ref="AH6:AH46" si="1">AE6+AF6+AG6</f>
        <v>33600</v>
      </c>
      <c r="AI6" s="17"/>
      <c r="AJ6" s="18">
        <f t="shared" ref="AJ6:AJ46" si="2">AH6-AI6</f>
        <v>33600</v>
      </c>
    </row>
    <row r="7" spans="1:36" x14ac:dyDescent="0.25">
      <c r="A7" s="11" t="s">
        <v>21</v>
      </c>
      <c r="B7" s="12" t="s">
        <v>22</v>
      </c>
      <c r="C7" s="12" t="s">
        <v>23</v>
      </c>
      <c r="D7" s="13" t="s">
        <v>24</v>
      </c>
      <c r="E7" s="77"/>
      <c r="F7" s="78"/>
      <c r="G7" s="79"/>
      <c r="H7" s="79"/>
      <c r="I7" s="79"/>
      <c r="J7" s="79">
        <v>1000</v>
      </c>
      <c r="K7" s="79"/>
      <c r="L7" s="79">
        <v>1000</v>
      </c>
      <c r="M7" s="79">
        <v>1000</v>
      </c>
      <c r="N7" s="79"/>
      <c r="O7" s="79"/>
      <c r="P7" s="79"/>
      <c r="Q7" s="79">
        <v>1000</v>
      </c>
      <c r="R7" s="79">
        <v>1000</v>
      </c>
      <c r="S7" s="79">
        <v>1000</v>
      </c>
      <c r="T7" s="79"/>
      <c r="U7" s="79"/>
      <c r="V7" s="79"/>
      <c r="W7" s="79">
        <v>1000</v>
      </c>
      <c r="X7" s="79">
        <v>1000</v>
      </c>
      <c r="Y7" s="79"/>
      <c r="Z7" s="79">
        <v>1000</v>
      </c>
      <c r="AA7" s="79">
        <v>500</v>
      </c>
      <c r="AB7" s="79">
        <v>1000</v>
      </c>
      <c r="AC7" s="79"/>
      <c r="AD7" s="79"/>
      <c r="AE7" s="16">
        <f t="shared" si="0"/>
        <v>10500</v>
      </c>
      <c r="AF7" s="14">
        <v>20000</v>
      </c>
      <c r="AG7" s="14">
        <v>1800</v>
      </c>
      <c r="AH7" s="8">
        <f t="shared" si="1"/>
        <v>32300</v>
      </c>
      <c r="AI7" s="19"/>
      <c r="AJ7" s="18">
        <f t="shared" si="2"/>
        <v>32300</v>
      </c>
    </row>
    <row r="8" spans="1:36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78">
        <v>500</v>
      </c>
      <c r="F8" s="78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16">
        <f t="shared" si="0"/>
        <v>500</v>
      </c>
      <c r="AF8" s="14">
        <v>9000</v>
      </c>
      <c r="AG8" s="14"/>
      <c r="AH8" s="8">
        <f t="shared" si="1"/>
        <v>9500</v>
      </c>
      <c r="AI8" s="19"/>
      <c r="AJ8" s="18">
        <f t="shared" si="2"/>
        <v>9500</v>
      </c>
    </row>
    <row r="9" spans="1:36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77"/>
      <c r="F9" s="78"/>
      <c r="G9" s="79"/>
      <c r="H9" s="79"/>
      <c r="I9" s="79"/>
      <c r="J9" s="79">
        <v>1000</v>
      </c>
      <c r="K9" s="79"/>
      <c r="L9" s="79"/>
      <c r="M9" s="79">
        <v>1000</v>
      </c>
      <c r="N9" s="79"/>
      <c r="O9" s="79"/>
      <c r="P9" s="79"/>
      <c r="Q9" s="79">
        <v>1000</v>
      </c>
      <c r="R9" s="79"/>
      <c r="S9" s="79"/>
      <c r="T9" s="79"/>
      <c r="U9" s="79"/>
      <c r="V9" s="79"/>
      <c r="W9" s="79">
        <v>1000</v>
      </c>
      <c r="X9" s="79">
        <v>1000</v>
      </c>
      <c r="Y9" s="79"/>
      <c r="Z9" s="79">
        <v>1000</v>
      </c>
      <c r="AA9" s="79"/>
      <c r="AB9" s="79">
        <v>1000</v>
      </c>
      <c r="AC9" s="79"/>
      <c r="AD9" s="79">
        <v>500</v>
      </c>
      <c r="AE9" s="16">
        <f t="shared" si="0"/>
        <v>7500</v>
      </c>
      <c r="AF9" s="14">
        <f>(2500*26)+30000</f>
        <v>95000</v>
      </c>
      <c r="AG9" s="14">
        <v>18400</v>
      </c>
      <c r="AH9" s="8">
        <f t="shared" si="1"/>
        <v>120900</v>
      </c>
      <c r="AI9" s="19"/>
      <c r="AJ9" s="18">
        <f t="shared" si="2"/>
        <v>120900</v>
      </c>
    </row>
    <row r="10" spans="1:36" x14ac:dyDescent="0.25">
      <c r="A10" s="11" t="s">
        <v>32</v>
      </c>
      <c r="B10" s="20" t="s">
        <v>33</v>
      </c>
      <c r="C10" s="12" t="s">
        <v>34</v>
      </c>
      <c r="D10" s="13" t="s">
        <v>35</v>
      </c>
      <c r="E10" s="77"/>
      <c r="F10" s="78">
        <v>500</v>
      </c>
      <c r="G10" s="79"/>
      <c r="H10" s="79"/>
      <c r="I10" s="79"/>
      <c r="J10" s="79"/>
      <c r="K10" s="79">
        <v>500</v>
      </c>
      <c r="L10" s="79"/>
      <c r="M10" s="79"/>
      <c r="N10" s="79">
        <v>500</v>
      </c>
      <c r="O10" s="79"/>
      <c r="P10" s="79"/>
      <c r="Q10" s="79"/>
      <c r="R10" s="79">
        <v>500</v>
      </c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>
        <v>500</v>
      </c>
      <c r="AD10" s="79"/>
      <c r="AE10" s="16">
        <f t="shared" si="0"/>
        <v>2500</v>
      </c>
      <c r="AF10" s="14">
        <v>20000</v>
      </c>
      <c r="AG10" s="14">
        <v>3000</v>
      </c>
      <c r="AH10" s="8">
        <f t="shared" si="1"/>
        <v>25500</v>
      </c>
      <c r="AI10" s="19"/>
      <c r="AJ10" s="18">
        <f t="shared" si="2"/>
        <v>25500</v>
      </c>
    </row>
    <row r="11" spans="1:36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77"/>
      <c r="F11" s="78"/>
      <c r="G11" s="79"/>
      <c r="H11" s="79"/>
      <c r="I11" s="79">
        <v>1000</v>
      </c>
      <c r="J11" s="79">
        <v>1000</v>
      </c>
      <c r="K11" s="79"/>
      <c r="L11" s="79"/>
      <c r="M11" s="79">
        <v>1000</v>
      </c>
      <c r="N11" s="79">
        <v>1000</v>
      </c>
      <c r="O11" s="79"/>
      <c r="P11" s="79"/>
      <c r="Q11" s="79">
        <v>1000</v>
      </c>
      <c r="R11" s="79">
        <v>1000</v>
      </c>
      <c r="S11" s="79"/>
      <c r="T11" s="79"/>
      <c r="U11" s="79"/>
      <c r="V11" s="79"/>
      <c r="W11" s="79">
        <v>1000</v>
      </c>
      <c r="X11" s="79"/>
      <c r="Y11" s="79"/>
      <c r="Z11" s="79">
        <v>1000</v>
      </c>
      <c r="AA11" s="79"/>
      <c r="AB11" s="79">
        <v>1000</v>
      </c>
      <c r="AC11" s="79"/>
      <c r="AD11" s="79"/>
      <c r="AE11" s="16">
        <f t="shared" si="0"/>
        <v>9000</v>
      </c>
      <c r="AF11" s="14">
        <v>50000</v>
      </c>
      <c r="AG11" s="14">
        <v>2800</v>
      </c>
      <c r="AH11" s="8">
        <f t="shared" si="1"/>
        <v>61800</v>
      </c>
      <c r="AI11" s="19"/>
      <c r="AJ11" s="18">
        <f t="shared" si="2"/>
        <v>61800</v>
      </c>
    </row>
    <row r="12" spans="1:36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77"/>
      <c r="F12" s="78"/>
      <c r="G12" s="79"/>
      <c r="H12" s="79"/>
      <c r="I12" s="79"/>
      <c r="J12" s="79">
        <v>1000</v>
      </c>
      <c r="K12" s="79"/>
      <c r="L12" s="79"/>
      <c r="M12" s="79"/>
      <c r="N12" s="79">
        <v>500</v>
      </c>
      <c r="O12" s="79"/>
      <c r="P12" s="79"/>
      <c r="Q12" s="79"/>
      <c r="R12" s="79">
        <v>500</v>
      </c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16">
        <f t="shared" si="0"/>
        <v>2000</v>
      </c>
      <c r="AF12" s="14">
        <v>7000</v>
      </c>
      <c r="AG12" s="14">
        <v>1760</v>
      </c>
      <c r="AH12" s="8">
        <f t="shared" si="1"/>
        <v>10760</v>
      </c>
      <c r="AI12" s="19"/>
      <c r="AJ12" s="18">
        <f t="shared" si="2"/>
        <v>10760</v>
      </c>
    </row>
    <row r="13" spans="1:36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77"/>
      <c r="F13" s="78">
        <v>500</v>
      </c>
      <c r="G13" s="79"/>
      <c r="H13" s="79"/>
      <c r="I13" s="79">
        <v>1000</v>
      </c>
      <c r="J13" s="79">
        <v>1000</v>
      </c>
      <c r="K13" s="79">
        <v>1000</v>
      </c>
      <c r="L13" s="79"/>
      <c r="M13" s="79">
        <v>1000</v>
      </c>
      <c r="N13" s="79">
        <v>500</v>
      </c>
      <c r="O13" s="79">
        <v>1000</v>
      </c>
      <c r="P13" s="79">
        <v>500</v>
      </c>
      <c r="Q13" s="79">
        <v>1000</v>
      </c>
      <c r="R13" s="79">
        <v>500</v>
      </c>
      <c r="S13" s="79"/>
      <c r="T13" s="79">
        <v>500</v>
      </c>
      <c r="U13" s="79">
        <v>1000</v>
      </c>
      <c r="V13" s="79"/>
      <c r="W13" s="79"/>
      <c r="X13" s="79"/>
      <c r="Y13" s="79">
        <v>1000</v>
      </c>
      <c r="Z13" s="79">
        <v>1000</v>
      </c>
      <c r="AA13" s="79"/>
      <c r="AB13" s="79">
        <v>1000</v>
      </c>
      <c r="AC13" s="79">
        <v>500</v>
      </c>
      <c r="AD13" s="79"/>
      <c r="AE13" s="16">
        <f t="shared" si="0"/>
        <v>13000</v>
      </c>
      <c r="AF13" s="14">
        <v>30000</v>
      </c>
      <c r="AG13" s="14">
        <v>4350</v>
      </c>
      <c r="AH13" s="8">
        <f t="shared" si="1"/>
        <v>47350</v>
      </c>
      <c r="AI13" s="19"/>
      <c r="AJ13" s="18">
        <f t="shared" si="2"/>
        <v>47350</v>
      </c>
    </row>
    <row r="14" spans="1:36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77"/>
      <c r="F14" s="78"/>
      <c r="G14" s="79">
        <v>1000</v>
      </c>
      <c r="H14" s="79"/>
      <c r="I14" s="79">
        <v>1000</v>
      </c>
      <c r="J14" s="79"/>
      <c r="K14" s="79"/>
      <c r="L14" s="79">
        <v>1000</v>
      </c>
      <c r="M14" s="79">
        <v>1000</v>
      </c>
      <c r="N14" s="79"/>
      <c r="O14" s="79"/>
      <c r="P14" s="79"/>
      <c r="Q14" s="79">
        <v>1000</v>
      </c>
      <c r="R14" s="79">
        <v>1000</v>
      </c>
      <c r="S14" s="79"/>
      <c r="T14" s="79"/>
      <c r="U14" s="79"/>
      <c r="V14" s="79"/>
      <c r="W14" s="79"/>
      <c r="X14" s="79"/>
      <c r="Y14" s="79"/>
      <c r="Z14" s="79">
        <v>1000</v>
      </c>
      <c r="AA14" s="79"/>
      <c r="AB14" s="79">
        <v>1000</v>
      </c>
      <c r="AC14" s="79"/>
      <c r="AD14" s="79"/>
      <c r="AE14" s="16">
        <f t="shared" si="0"/>
        <v>8000</v>
      </c>
      <c r="AF14" s="14">
        <v>50000</v>
      </c>
      <c r="AG14" s="14">
        <v>2800</v>
      </c>
      <c r="AH14" s="8">
        <f t="shared" si="1"/>
        <v>60800</v>
      </c>
      <c r="AI14" s="19">
        <v>8280</v>
      </c>
      <c r="AJ14" s="18">
        <f t="shared" si="2"/>
        <v>52520</v>
      </c>
    </row>
    <row r="15" spans="1:36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77"/>
      <c r="F15" s="78"/>
      <c r="G15" s="79"/>
      <c r="H15" s="79"/>
      <c r="I15" s="79">
        <v>1000</v>
      </c>
      <c r="J15" s="79"/>
      <c r="K15" s="79"/>
      <c r="L15" s="79"/>
      <c r="M15" s="79">
        <v>1000</v>
      </c>
      <c r="N15" s="79">
        <v>1000</v>
      </c>
      <c r="O15" s="79"/>
      <c r="P15" s="79"/>
      <c r="Q15" s="79"/>
      <c r="R15" s="79"/>
      <c r="S15" s="79"/>
      <c r="T15" s="79"/>
      <c r="U15" s="79"/>
      <c r="V15" s="79"/>
      <c r="W15" s="79">
        <v>1000</v>
      </c>
      <c r="X15" s="79"/>
      <c r="Y15" s="79"/>
      <c r="Z15" s="79">
        <v>1000</v>
      </c>
      <c r="AA15" s="79"/>
      <c r="AB15" s="79">
        <v>1000</v>
      </c>
      <c r="AC15" s="79"/>
      <c r="AD15" s="79"/>
      <c r="AE15" s="16">
        <f t="shared" si="0"/>
        <v>6000</v>
      </c>
      <c r="AF15" s="14">
        <v>20000</v>
      </c>
      <c r="AG15" s="14">
        <v>1800</v>
      </c>
      <c r="AH15" s="8">
        <f t="shared" si="1"/>
        <v>27800</v>
      </c>
      <c r="AI15" s="19"/>
      <c r="AJ15" s="18">
        <f t="shared" si="2"/>
        <v>27800</v>
      </c>
    </row>
    <row r="16" spans="1:36" x14ac:dyDescent="0.25">
      <c r="A16" s="11" t="s">
        <v>51</v>
      </c>
      <c r="B16" s="12" t="s">
        <v>52</v>
      </c>
      <c r="C16" s="12" t="s">
        <v>34</v>
      </c>
      <c r="D16" s="13" t="s">
        <v>53</v>
      </c>
      <c r="E16" s="77"/>
      <c r="F16" s="78"/>
      <c r="G16" s="79"/>
      <c r="H16" s="79"/>
      <c r="I16" s="79"/>
      <c r="J16" s="79">
        <v>1000</v>
      </c>
      <c r="K16" s="79"/>
      <c r="L16" s="79"/>
      <c r="M16" s="79">
        <v>1000</v>
      </c>
      <c r="N16" s="79"/>
      <c r="O16" s="79"/>
      <c r="P16" s="79"/>
      <c r="Q16" s="79">
        <v>1000</v>
      </c>
      <c r="R16" s="79"/>
      <c r="S16" s="79"/>
      <c r="T16" s="79"/>
      <c r="U16" s="79"/>
      <c r="V16" s="79"/>
      <c r="W16" s="79">
        <v>1000</v>
      </c>
      <c r="X16" s="79"/>
      <c r="Y16" s="79"/>
      <c r="Z16" s="79">
        <v>1000</v>
      </c>
      <c r="AA16" s="79"/>
      <c r="AB16" s="79"/>
      <c r="AC16" s="79"/>
      <c r="AD16" s="79"/>
      <c r="AE16" s="16">
        <f t="shared" si="0"/>
        <v>5000</v>
      </c>
      <c r="AF16" s="14">
        <v>20000</v>
      </c>
      <c r="AG16" s="14">
        <v>1200</v>
      </c>
      <c r="AH16" s="8">
        <f t="shared" si="1"/>
        <v>26200</v>
      </c>
      <c r="AI16" s="19">
        <v>10000</v>
      </c>
      <c r="AJ16" s="18">
        <f t="shared" si="2"/>
        <v>16200</v>
      </c>
    </row>
    <row r="17" spans="1:36" x14ac:dyDescent="0.25">
      <c r="A17" s="11" t="s">
        <v>54</v>
      </c>
      <c r="B17" s="12" t="s">
        <v>55</v>
      </c>
      <c r="C17" s="21" t="s">
        <v>56</v>
      </c>
      <c r="D17" s="13" t="s">
        <v>57</v>
      </c>
      <c r="E17" s="77"/>
      <c r="F17" s="78"/>
      <c r="G17" s="79"/>
      <c r="H17" s="79"/>
      <c r="I17" s="79"/>
      <c r="J17" s="79"/>
      <c r="K17" s="79">
        <v>500</v>
      </c>
      <c r="L17" s="79">
        <v>1000</v>
      </c>
      <c r="M17" s="79"/>
      <c r="N17" s="79"/>
      <c r="O17" s="79"/>
      <c r="P17" s="79"/>
      <c r="Q17" s="79">
        <v>1000</v>
      </c>
      <c r="R17" s="79"/>
      <c r="S17" s="79"/>
      <c r="T17" s="79"/>
      <c r="U17" s="79"/>
      <c r="V17" s="79"/>
      <c r="W17" s="79"/>
      <c r="X17" s="79"/>
      <c r="Y17" s="79">
        <v>1000</v>
      </c>
      <c r="Z17" s="79">
        <v>500</v>
      </c>
      <c r="AA17" s="79"/>
      <c r="AB17" s="79"/>
      <c r="AC17" s="79"/>
      <c r="AD17" s="79"/>
      <c r="AE17" s="16">
        <f t="shared" si="0"/>
        <v>4000</v>
      </c>
      <c r="AF17" s="14">
        <v>20000</v>
      </c>
      <c r="AG17" s="14">
        <v>2250</v>
      </c>
      <c r="AH17" s="8">
        <f t="shared" si="1"/>
        <v>26250</v>
      </c>
      <c r="AI17" s="19"/>
      <c r="AJ17" s="18">
        <f t="shared" si="2"/>
        <v>26250</v>
      </c>
    </row>
    <row r="18" spans="1:36" x14ac:dyDescent="0.25">
      <c r="A18" s="11" t="s">
        <v>58</v>
      </c>
      <c r="B18" s="12" t="s">
        <v>59</v>
      </c>
      <c r="C18" s="22" t="s">
        <v>34</v>
      </c>
      <c r="D18" s="13" t="s">
        <v>60</v>
      </c>
      <c r="E18" s="77"/>
      <c r="F18" s="78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16">
        <f t="shared" si="0"/>
        <v>0</v>
      </c>
      <c r="AF18" s="14">
        <v>30000</v>
      </c>
      <c r="AG18" s="14">
        <v>1000</v>
      </c>
      <c r="AH18" s="8">
        <f t="shared" si="1"/>
        <v>31000</v>
      </c>
      <c r="AI18" s="19"/>
      <c r="AJ18" s="18">
        <f t="shared" si="2"/>
        <v>31000</v>
      </c>
    </row>
    <row r="19" spans="1:36" x14ac:dyDescent="0.25">
      <c r="A19" s="11" t="s">
        <v>61</v>
      </c>
      <c r="B19" s="12" t="s">
        <v>62</v>
      </c>
      <c r="C19" s="13" t="s">
        <v>19</v>
      </c>
      <c r="D19" s="13" t="s">
        <v>63</v>
      </c>
      <c r="E19" s="77"/>
      <c r="F19" s="78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16">
        <f t="shared" si="0"/>
        <v>0</v>
      </c>
      <c r="AF19" s="14">
        <v>20000</v>
      </c>
      <c r="AG19" s="14">
        <v>3000</v>
      </c>
      <c r="AH19" s="8">
        <f t="shared" si="1"/>
        <v>23000</v>
      </c>
      <c r="AI19" s="19"/>
      <c r="AJ19" s="18">
        <f t="shared" si="2"/>
        <v>23000</v>
      </c>
    </row>
    <row r="20" spans="1:36" x14ac:dyDescent="0.25">
      <c r="A20" s="11" t="s">
        <v>64</v>
      </c>
      <c r="B20" s="12" t="s">
        <v>65</v>
      </c>
      <c r="C20" s="22" t="s">
        <v>19</v>
      </c>
      <c r="D20" s="13" t="s">
        <v>66</v>
      </c>
      <c r="E20" s="77"/>
      <c r="F20" s="78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16">
        <f t="shared" si="0"/>
        <v>0</v>
      </c>
      <c r="AF20" s="14">
        <v>20000</v>
      </c>
      <c r="AG20" s="14">
        <v>3000</v>
      </c>
      <c r="AH20" s="8">
        <f t="shared" si="1"/>
        <v>23000</v>
      </c>
      <c r="AI20" s="19"/>
      <c r="AJ20" s="18">
        <f t="shared" si="2"/>
        <v>23000</v>
      </c>
    </row>
    <row r="21" spans="1:36" x14ac:dyDescent="0.25">
      <c r="A21" s="11" t="s">
        <v>67</v>
      </c>
      <c r="B21" s="12" t="s">
        <v>68</v>
      </c>
      <c r="C21" s="22" t="s">
        <v>34</v>
      </c>
      <c r="D21" s="13" t="s">
        <v>69</v>
      </c>
      <c r="E21" s="77"/>
      <c r="F21" s="78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16">
        <f t="shared" si="0"/>
        <v>0</v>
      </c>
      <c r="AF21" s="14">
        <v>20000</v>
      </c>
      <c r="AG21" s="14">
        <v>3000</v>
      </c>
      <c r="AH21" s="8">
        <f t="shared" si="1"/>
        <v>23000</v>
      </c>
      <c r="AI21" s="19"/>
      <c r="AJ21" s="18">
        <f t="shared" si="2"/>
        <v>23000</v>
      </c>
    </row>
    <row r="22" spans="1:36" x14ac:dyDescent="0.25">
      <c r="A22" s="11" t="s">
        <v>70</v>
      </c>
      <c r="B22" s="20" t="s">
        <v>71</v>
      </c>
      <c r="C22" s="22" t="s">
        <v>34</v>
      </c>
      <c r="D22" s="13" t="s">
        <v>72</v>
      </c>
      <c r="E22" s="77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16">
        <f t="shared" si="0"/>
        <v>0</v>
      </c>
      <c r="AF22" s="14">
        <v>29000</v>
      </c>
      <c r="AG22" s="14">
        <v>3000</v>
      </c>
      <c r="AH22" s="8">
        <f t="shared" si="1"/>
        <v>32000</v>
      </c>
      <c r="AI22" s="19"/>
      <c r="AJ22" s="18">
        <f t="shared" si="2"/>
        <v>32000</v>
      </c>
    </row>
    <row r="23" spans="1:36" x14ac:dyDescent="0.25">
      <c r="A23" s="11" t="s">
        <v>73</v>
      </c>
      <c r="B23" s="12" t="s">
        <v>74</v>
      </c>
      <c r="C23" s="22" t="s">
        <v>19</v>
      </c>
      <c r="D23" s="13" t="s">
        <v>75</v>
      </c>
      <c r="E23" s="77"/>
      <c r="F23" s="78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16">
        <f t="shared" si="0"/>
        <v>0</v>
      </c>
      <c r="AF23" s="14">
        <v>10000</v>
      </c>
      <c r="AG23" s="14"/>
      <c r="AH23" s="8">
        <f>AE23+AF23+AG23</f>
        <v>10000</v>
      </c>
      <c r="AI23" s="19"/>
      <c r="AJ23" s="18">
        <f t="shared" si="2"/>
        <v>10000</v>
      </c>
    </row>
    <row r="24" spans="1:36" x14ac:dyDescent="0.25">
      <c r="A24" s="11" t="s">
        <v>76</v>
      </c>
      <c r="B24" s="12" t="s">
        <v>77</v>
      </c>
      <c r="C24" s="22" t="s">
        <v>78</v>
      </c>
      <c r="D24" s="13" t="s">
        <v>79</v>
      </c>
      <c r="E24" s="77"/>
      <c r="F24" s="78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16">
        <f t="shared" si="0"/>
        <v>0</v>
      </c>
      <c r="AF24" s="14">
        <v>50000</v>
      </c>
      <c r="AG24" s="14">
        <v>5000</v>
      </c>
      <c r="AH24" s="8">
        <f t="shared" si="1"/>
        <v>55000</v>
      </c>
      <c r="AI24" s="19"/>
      <c r="AJ24" s="18">
        <f t="shared" si="2"/>
        <v>55000</v>
      </c>
    </row>
    <row r="25" spans="1:36" x14ac:dyDescent="0.25">
      <c r="A25" s="11" t="s">
        <v>80</v>
      </c>
      <c r="B25" s="20" t="s">
        <v>81</v>
      </c>
      <c r="C25" s="22" t="s">
        <v>27</v>
      </c>
      <c r="D25" s="13" t="s">
        <v>82</v>
      </c>
      <c r="E25" s="77"/>
      <c r="F25" s="78"/>
      <c r="G25" s="79"/>
      <c r="H25" s="79"/>
      <c r="I25" s="79">
        <v>1000</v>
      </c>
      <c r="J25" s="79">
        <v>1000</v>
      </c>
      <c r="K25" s="79"/>
      <c r="L25" s="79"/>
      <c r="M25" s="79">
        <v>1000</v>
      </c>
      <c r="N25" s="79">
        <v>1000</v>
      </c>
      <c r="O25" s="79"/>
      <c r="P25" s="79"/>
      <c r="Q25" s="79"/>
      <c r="R25" s="79">
        <v>1000</v>
      </c>
      <c r="S25" s="79"/>
      <c r="T25" s="79"/>
      <c r="U25" s="79"/>
      <c r="V25" s="79"/>
      <c r="W25" s="79">
        <v>1000</v>
      </c>
      <c r="X25" s="79"/>
      <c r="Y25" s="79"/>
      <c r="Z25" s="79">
        <v>1000</v>
      </c>
      <c r="AA25" s="79"/>
      <c r="AB25" s="79">
        <v>1000</v>
      </c>
      <c r="AC25" s="79"/>
      <c r="AD25" s="79"/>
      <c r="AE25" s="16">
        <f t="shared" si="0"/>
        <v>8000</v>
      </c>
      <c r="AF25" s="14">
        <v>20000</v>
      </c>
      <c r="AG25" s="14">
        <v>1200</v>
      </c>
      <c r="AH25" s="8">
        <f t="shared" si="1"/>
        <v>29200</v>
      </c>
      <c r="AI25" s="19"/>
      <c r="AJ25" s="18">
        <f t="shared" si="2"/>
        <v>29200</v>
      </c>
    </row>
    <row r="26" spans="1:36" x14ac:dyDescent="0.25">
      <c r="A26" s="11" t="s">
        <v>83</v>
      </c>
      <c r="B26" s="20" t="s">
        <v>84</v>
      </c>
      <c r="C26" s="22" t="s">
        <v>34</v>
      </c>
      <c r="D26" s="13" t="s">
        <v>85</v>
      </c>
      <c r="E26" s="77"/>
      <c r="F26" s="78"/>
      <c r="G26" s="79"/>
      <c r="H26" s="79"/>
      <c r="I26" s="79">
        <v>1000</v>
      </c>
      <c r="J26" s="79">
        <v>1000</v>
      </c>
      <c r="K26" s="79"/>
      <c r="L26" s="79"/>
      <c r="M26" s="79">
        <v>1000</v>
      </c>
      <c r="N26" s="79">
        <v>1000</v>
      </c>
      <c r="O26" s="79"/>
      <c r="P26" s="79"/>
      <c r="Q26" s="79"/>
      <c r="R26" s="79">
        <v>1000</v>
      </c>
      <c r="S26" s="79"/>
      <c r="T26" s="79"/>
      <c r="U26" s="79"/>
      <c r="V26" s="79"/>
      <c r="W26" s="79">
        <v>1000</v>
      </c>
      <c r="X26" s="79"/>
      <c r="Y26" s="79"/>
      <c r="Z26" s="79">
        <v>1000</v>
      </c>
      <c r="AA26" s="79"/>
      <c r="AB26" s="79">
        <v>1000</v>
      </c>
      <c r="AC26" s="79"/>
      <c r="AD26" s="79"/>
      <c r="AE26" s="16">
        <f t="shared" si="0"/>
        <v>8000</v>
      </c>
      <c r="AF26" s="14">
        <v>20000</v>
      </c>
      <c r="AG26" s="14">
        <v>1200</v>
      </c>
      <c r="AH26" s="8">
        <f t="shared" si="1"/>
        <v>29200</v>
      </c>
      <c r="AI26" s="19"/>
      <c r="AJ26" s="18">
        <f t="shared" si="2"/>
        <v>29200</v>
      </c>
    </row>
    <row r="27" spans="1:36" x14ac:dyDescent="0.25">
      <c r="A27" s="11" t="s">
        <v>86</v>
      </c>
      <c r="B27" s="12" t="s">
        <v>87</v>
      </c>
      <c r="C27" s="22" t="s">
        <v>34</v>
      </c>
      <c r="D27" s="13" t="s">
        <v>88</v>
      </c>
      <c r="E27" s="78">
        <v>500</v>
      </c>
      <c r="F27" s="78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16">
        <f t="shared" si="0"/>
        <v>500</v>
      </c>
      <c r="AF27" s="14">
        <v>9000</v>
      </c>
      <c r="AG27" s="14"/>
      <c r="AH27" s="8">
        <f t="shared" si="1"/>
        <v>9500</v>
      </c>
      <c r="AI27" s="19"/>
      <c r="AJ27" s="18">
        <f t="shared" si="2"/>
        <v>9500</v>
      </c>
    </row>
    <row r="28" spans="1:36" x14ac:dyDescent="0.25">
      <c r="A28" s="11" t="s">
        <v>89</v>
      </c>
      <c r="B28" s="23" t="s">
        <v>90</v>
      </c>
      <c r="C28" s="24" t="s">
        <v>56</v>
      </c>
      <c r="D28" s="13" t="s">
        <v>91</v>
      </c>
      <c r="E28" s="77"/>
      <c r="F28" s="78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16">
        <f t="shared" si="0"/>
        <v>0</v>
      </c>
      <c r="AF28" s="14">
        <v>7000</v>
      </c>
      <c r="AG28" s="14"/>
      <c r="AH28" s="8">
        <f t="shared" si="1"/>
        <v>7000</v>
      </c>
      <c r="AI28" s="19"/>
      <c r="AJ28" s="18">
        <f t="shared" si="2"/>
        <v>7000</v>
      </c>
    </row>
    <row r="29" spans="1:36" x14ac:dyDescent="0.25">
      <c r="A29" s="11" t="s">
        <v>92</v>
      </c>
      <c r="B29" s="23" t="s">
        <v>93</v>
      </c>
      <c r="C29" s="24" t="s">
        <v>19</v>
      </c>
      <c r="D29" s="13" t="s">
        <v>94</v>
      </c>
      <c r="E29" s="77"/>
      <c r="F29" s="78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>
        <v>1000</v>
      </c>
      <c r="V29" s="79"/>
      <c r="W29" s="79"/>
      <c r="X29" s="79"/>
      <c r="Y29" s="79"/>
      <c r="Z29" s="79"/>
      <c r="AA29" s="79"/>
      <c r="AB29" s="79"/>
      <c r="AC29" s="79"/>
      <c r="AD29" s="79"/>
      <c r="AE29" s="16">
        <f t="shared" si="0"/>
        <v>1000</v>
      </c>
      <c r="AF29" s="14">
        <v>20000</v>
      </c>
      <c r="AG29" s="14">
        <v>3000</v>
      </c>
      <c r="AH29" s="8">
        <f t="shared" si="1"/>
        <v>24000</v>
      </c>
      <c r="AI29" s="19"/>
      <c r="AJ29" s="18">
        <f t="shared" si="2"/>
        <v>24000</v>
      </c>
    </row>
    <row r="30" spans="1:36" x14ac:dyDescent="0.25">
      <c r="A30" s="11" t="s">
        <v>95</v>
      </c>
      <c r="B30" s="23" t="s">
        <v>96</v>
      </c>
      <c r="C30" s="25" t="s">
        <v>16</v>
      </c>
      <c r="D30" s="13" t="s">
        <v>97</v>
      </c>
      <c r="E30" s="78">
        <v>1000</v>
      </c>
      <c r="F30" s="78"/>
      <c r="G30" s="79"/>
      <c r="H30" s="79">
        <v>1000</v>
      </c>
      <c r="I30" s="79"/>
      <c r="J30" s="79"/>
      <c r="K30" s="79"/>
      <c r="L30" s="79"/>
      <c r="M30" s="79"/>
      <c r="N30" s="79"/>
      <c r="O30" s="79">
        <v>1000</v>
      </c>
      <c r="P30" s="79"/>
      <c r="Q30" s="79"/>
      <c r="R30" s="79"/>
      <c r="S30" s="79"/>
      <c r="T30" s="79"/>
      <c r="U30" s="79"/>
      <c r="V30" s="79"/>
      <c r="W30" s="79"/>
      <c r="X30" s="79">
        <v>500</v>
      </c>
      <c r="Y30" s="79">
        <v>1000</v>
      </c>
      <c r="Z30" s="79"/>
      <c r="AA30" s="79"/>
      <c r="AB30" s="79"/>
      <c r="AC30" s="79"/>
      <c r="AD30" s="79"/>
      <c r="AE30" s="16">
        <f t="shared" si="0"/>
        <v>4500</v>
      </c>
      <c r="AF30" s="14">
        <v>25000</v>
      </c>
      <c r="AG30" s="14">
        <v>1800</v>
      </c>
      <c r="AH30" s="8">
        <f t="shared" si="1"/>
        <v>31300</v>
      </c>
      <c r="AI30" s="19"/>
      <c r="AJ30" s="18">
        <f t="shared" si="2"/>
        <v>31300</v>
      </c>
    </row>
    <row r="31" spans="1:36" x14ac:dyDescent="0.25">
      <c r="A31" s="11" t="s">
        <v>98</v>
      </c>
      <c r="B31" s="23" t="s">
        <v>99</v>
      </c>
      <c r="C31" s="24" t="s">
        <v>19</v>
      </c>
      <c r="D31" s="13" t="s">
        <v>100</v>
      </c>
      <c r="E31" s="78"/>
      <c r="F31" s="78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16">
        <f t="shared" si="0"/>
        <v>0</v>
      </c>
      <c r="AF31" s="14">
        <v>15000</v>
      </c>
      <c r="AG31" s="14">
        <v>2110</v>
      </c>
      <c r="AH31" s="8">
        <f t="shared" si="1"/>
        <v>17110</v>
      </c>
      <c r="AI31" s="19"/>
      <c r="AJ31" s="18">
        <f t="shared" si="2"/>
        <v>17110</v>
      </c>
    </row>
    <row r="32" spans="1:36" x14ac:dyDescent="0.25">
      <c r="A32" s="11" t="s">
        <v>101</v>
      </c>
      <c r="B32" s="23" t="s">
        <v>102</v>
      </c>
      <c r="C32" s="12" t="s">
        <v>34</v>
      </c>
      <c r="D32" s="13" t="s">
        <v>103</v>
      </c>
      <c r="E32" s="78">
        <v>1000</v>
      </c>
      <c r="F32" s="78"/>
      <c r="G32" s="79"/>
      <c r="H32" s="79">
        <v>1000</v>
      </c>
      <c r="I32" s="79"/>
      <c r="J32" s="79"/>
      <c r="K32" s="79"/>
      <c r="L32" s="79"/>
      <c r="M32" s="79"/>
      <c r="N32" s="79"/>
      <c r="O32" s="79">
        <v>1000</v>
      </c>
      <c r="P32" s="79"/>
      <c r="Q32" s="79">
        <v>500</v>
      </c>
      <c r="R32" s="79"/>
      <c r="S32" s="79"/>
      <c r="T32" s="79"/>
      <c r="U32" s="79">
        <v>1000</v>
      </c>
      <c r="V32" s="79"/>
      <c r="W32" s="79"/>
      <c r="X32" s="79">
        <v>500</v>
      </c>
      <c r="Y32" s="79">
        <v>1000</v>
      </c>
      <c r="Z32" s="79">
        <v>500</v>
      </c>
      <c r="AA32" s="79"/>
      <c r="AB32" s="79"/>
      <c r="AC32" s="79"/>
      <c r="AD32" s="79"/>
      <c r="AE32" s="16">
        <f t="shared" si="0"/>
        <v>6500</v>
      </c>
      <c r="AF32" s="14">
        <v>20000</v>
      </c>
      <c r="AG32" s="14">
        <v>1700</v>
      </c>
      <c r="AH32" s="8">
        <f t="shared" si="1"/>
        <v>28200</v>
      </c>
      <c r="AI32" s="19"/>
      <c r="AJ32" s="18">
        <f t="shared" si="2"/>
        <v>28200</v>
      </c>
    </row>
    <row r="33" spans="1:36" x14ac:dyDescent="0.25">
      <c r="A33" s="11" t="s">
        <v>104</v>
      </c>
      <c r="B33" s="23" t="s">
        <v>105</v>
      </c>
      <c r="C33" s="24" t="s">
        <v>34</v>
      </c>
      <c r="D33" s="13" t="s">
        <v>106</v>
      </c>
      <c r="E33" s="78"/>
      <c r="F33" s="78"/>
      <c r="G33" s="79"/>
      <c r="H33" s="79"/>
      <c r="I33" s="79">
        <v>1000</v>
      </c>
      <c r="J33" s="79">
        <v>1000</v>
      </c>
      <c r="K33" s="79"/>
      <c r="L33" s="79"/>
      <c r="M33" s="79">
        <v>1000</v>
      </c>
      <c r="N33" s="79">
        <v>1000</v>
      </c>
      <c r="O33" s="79"/>
      <c r="P33" s="79"/>
      <c r="Q33" s="79">
        <v>1000</v>
      </c>
      <c r="R33" s="79"/>
      <c r="S33" s="79"/>
      <c r="T33" s="79"/>
      <c r="U33" s="79"/>
      <c r="V33" s="79"/>
      <c r="W33" s="79">
        <v>1000</v>
      </c>
      <c r="X33" s="79"/>
      <c r="Y33" s="79"/>
      <c r="Z33" s="79">
        <v>1000</v>
      </c>
      <c r="AA33" s="79"/>
      <c r="AB33" s="79">
        <v>1000</v>
      </c>
      <c r="AC33" s="79"/>
      <c r="AD33" s="79"/>
      <c r="AE33" s="16">
        <f t="shared" si="0"/>
        <v>8000</v>
      </c>
      <c r="AF33" s="14">
        <v>20000</v>
      </c>
      <c r="AG33" s="14">
        <v>1200</v>
      </c>
      <c r="AH33" s="8">
        <f t="shared" si="1"/>
        <v>29200</v>
      </c>
      <c r="AI33" s="19"/>
      <c r="AJ33" s="18">
        <f t="shared" si="2"/>
        <v>29200</v>
      </c>
    </row>
    <row r="34" spans="1:36" x14ac:dyDescent="0.25">
      <c r="A34" s="11" t="s">
        <v>107</v>
      </c>
      <c r="B34" s="23" t="s">
        <v>108</v>
      </c>
      <c r="C34" s="24" t="s">
        <v>34</v>
      </c>
      <c r="D34" s="13" t="s">
        <v>109</v>
      </c>
      <c r="E34" s="78">
        <v>1000</v>
      </c>
      <c r="F34" s="7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16">
        <f t="shared" si="0"/>
        <v>1000</v>
      </c>
      <c r="AF34" s="14">
        <v>20000</v>
      </c>
      <c r="AG34" s="14">
        <v>2300</v>
      </c>
      <c r="AH34" s="8">
        <f t="shared" si="1"/>
        <v>23300</v>
      </c>
      <c r="AI34" s="19"/>
      <c r="AJ34" s="18">
        <f t="shared" si="2"/>
        <v>23300</v>
      </c>
    </row>
    <row r="35" spans="1:36" x14ac:dyDescent="0.25">
      <c r="A35" s="11" t="s">
        <v>110</v>
      </c>
      <c r="B35" s="23" t="s">
        <v>111</v>
      </c>
      <c r="C35" s="24" t="s">
        <v>19</v>
      </c>
      <c r="D35" s="13" t="s">
        <v>112</v>
      </c>
      <c r="E35" s="77"/>
      <c r="F35" s="78"/>
      <c r="G35" s="79"/>
      <c r="H35" s="79"/>
      <c r="I35" s="79"/>
      <c r="J35" s="79">
        <v>1000</v>
      </c>
      <c r="K35" s="79"/>
      <c r="L35" s="79"/>
      <c r="M35" s="79">
        <v>1000</v>
      </c>
      <c r="N35" s="79"/>
      <c r="O35" s="79"/>
      <c r="P35" s="79"/>
      <c r="Q35" s="79"/>
      <c r="R35" s="79"/>
      <c r="S35" s="79"/>
      <c r="T35" s="79"/>
      <c r="U35" s="79"/>
      <c r="V35" s="79"/>
      <c r="W35" s="79">
        <v>1000</v>
      </c>
      <c r="X35" s="79"/>
      <c r="Y35" s="79"/>
      <c r="Z35" s="79"/>
      <c r="AA35" s="79"/>
      <c r="AB35" s="79">
        <v>1000</v>
      </c>
      <c r="AC35" s="79"/>
      <c r="AD35" s="79"/>
      <c r="AE35" s="16">
        <f t="shared" si="0"/>
        <v>4000</v>
      </c>
      <c r="AF35" s="14">
        <v>30000</v>
      </c>
      <c r="AG35" s="14">
        <v>1000</v>
      </c>
      <c r="AH35" s="8">
        <f t="shared" si="1"/>
        <v>35000</v>
      </c>
      <c r="AI35" s="19"/>
      <c r="AJ35" s="18">
        <f t="shared" si="2"/>
        <v>35000</v>
      </c>
    </row>
    <row r="36" spans="1:36" x14ac:dyDescent="0.25">
      <c r="A36" s="11" t="s">
        <v>113</v>
      </c>
      <c r="B36" s="20" t="s">
        <v>114</v>
      </c>
      <c r="C36" s="12" t="s">
        <v>115</v>
      </c>
      <c r="D36" s="25" t="s">
        <v>116</v>
      </c>
      <c r="E36" s="80"/>
      <c r="F36" s="81"/>
      <c r="G36" s="82"/>
      <c r="H36" s="82"/>
      <c r="I36" s="82"/>
      <c r="J36" s="82"/>
      <c r="K36" s="82"/>
      <c r="L36" s="82"/>
      <c r="M36" s="82">
        <v>1000</v>
      </c>
      <c r="N36" s="82"/>
      <c r="O36" s="82"/>
      <c r="P36" s="82"/>
      <c r="Q36" s="82"/>
      <c r="R36" s="82"/>
      <c r="S36" s="82"/>
      <c r="T36" s="82"/>
      <c r="U36" s="82"/>
      <c r="V36" s="82"/>
      <c r="W36" s="82">
        <v>1000</v>
      </c>
      <c r="X36" s="82">
        <v>1000</v>
      </c>
      <c r="Y36" s="82"/>
      <c r="Z36" s="82">
        <v>1000</v>
      </c>
      <c r="AA36" s="82"/>
      <c r="AB36" s="82"/>
      <c r="AC36" s="82"/>
      <c r="AD36" s="82"/>
      <c r="AE36" s="16">
        <f t="shared" si="0"/>
        <v>4000</v>
      </c>
      <c r="AF36" s="14">
        <v>30000</v>
      </c>
      <c r="AG36" s="14">
        <v>1200</v>
      </c>
      <c r="AH36" s="8">
        <f t="shared" si="1"/>
        <v>35200</v>
      </c>
      <c r="AI36" s="27"/>
      <c r="AJ36" s="18">
        <f t="shared" si="2"/>
        <v>35200</v>
      </c>
    </row>
    <row r="37" spans="1:36" x14ac:dyDescent="0.25">
      <c r="A37" s="11" t="s">
        <v>117</v>
      </c>
      <c r="B37" s="28" t="s">
        <v>118</v>
      </c>
      <c r="C37" s="24" t="s">
        <v>19</v>
      </c>
      <c r="D37" s="29">
        <v>1347174311</v>
      </c>
      <c r="E37" s="83"/>
      <c r="F37" s="84"/>
      <c r="G37" s="82"/>
      <c r="H37" s="82"/>
      <c r="I37" s="82"/>
      <c r="J37" s="82"/>
      <c r="K37" s="82"/>
      <c r="L37" s="82"/>
      <c r="M37" s="82">
        <v>1000</v>
      </c>
      <c r="N37" s="82"/>
      <c r="O37" s="82"/>
      <c r="P37" s="82"/>
      <c r="Q37" s="82"/>
      <c r="R37" s="82"/>
      <c r="S37" s="82"/>
      <c r="T37" s="82"/>
      <c r="U37" s="82"/>
      <c r="V37" s="82"/>
      <c r="W37" s="82">
        <v>1000</v>
      </c>
      <c r="X37" s="82">
        <v>1000</v>
      </c>
      <c r="Y37" s="82"/>
      <c r="Z37" s="82">
        <v>1000</v>
      </c>
      <c r="AA37" s="82"/>
      <c r="AB37" s="82"/>
      <c r="AC37" s="82"/>
      <c r="AD37" s="82"/>
      <c r="AE37" s="16">
        <f t="shared" si="0"/>
        <v>4000</v>
      </c>
      <c r="AF37" s="14">
        <v>25000</v>
      </c>
      <c r="AG37" s="14">
        <v>1200</v>
      </c>
      <c r="AH37" s="8">
        <f t="shared" si="1"/>
        <v>30200</v>
      </c>
      <c r="AI37" s="27"/>
      <c r="AJ37" s="18">
        <f t="shared" si="2"/>
        <v>30200</v>
      </c>
    </row>
    <row r="38" spans="1:36" x14ac:dyDescent="0.25">
      <c r="A38" s="11" t="s">
        <v>119</v>
      </c>
      <c r="B38" s="28" t="s">
        <v>159</v>
      </c>
      <c r="C38" s="24" t="s">
        <v>34</v>
      </c>
      <c r="D38" s="30" t="s">
        <v>177</v>
      </c>
      <c r="E38" s="83"/>
      <c r="F38" s="84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16">
        <f t="shared" si="0"/>
        <v>0</v>
      </c>
      <c r="AF38" s="14">
        <v>18000</v>
      </c>
      <c r="AG38" s="14">
        <v>1200</v>
      </c>
      <c r="AH38" s="8">
        <f t="shared" si="1"/>
        <v>19200</v>
      </c>
      <c r="AI38" s="27"/>
      <c r="AJ38" s="18">
        <f t="shared" si="2"/>
        <v>19200</v>
      </c>
    </row>
    <row r="39" spans="1:36" x14ac:dyDescent="0.25">
      <c r="A39" s="11" t="s">
        <v>120</v>
      </c>
      <c r="B39" s="28" t="s">
        <v>121</v>
      </c>
      <c r="C39" s="24" t="s">
        <v>23</v>
      </c>
      <c r="D39" s="30" t="s">
        <v>122</v>
      </c>
      <c r="E39" s="83"/>
      <c r="F39" s="84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16">
        <f t="shared" si="0"/>
        <v>0</v>
      </c>
      <c r="AF39" s="14">
        <v>25000</v>
      </c>
      <c r="AG39" s="14">
        <v>3000</v>
      </c>
      <c r="AH39" s="8">
        <f t="shared" si="1"/>
        <v>28000</v>
      </c>
      <c r="AI39" s="27"/>
      <c r="AJ39" s="18">
        <f t="shared" si="2"/>
        <v>28000</v>
      </c>
    </row>
    <row r="40" spans="1:36" x14ac:dyDescent="0.25">
      <c r="A40" s="11" t="s">
        <v>123</v>
      </c>
      <c r="B40" s="28" t="s">
        <v>124</v>
      </c>
      <c r="C40" s="24" t="s">
        <v>34</v>
      </c>
      <c r="D40" s="30" t="s">
        <v>125</v>
      </c>
      <c r="E40" s="83"/>
      <c r="F40" s="84"/>
      <c r="G40" s="82"/>
      <c r="H40" s="82"/>
      <c r="I40" s="82"/>
      <c r="J40" s="82"/>
      <c r="K40" s="82"/>
      <c r="L40" s="82"/>
      <c r="M40" s="82"/>
      <c r="N40" s="82">
        <v>1000</v>
      </c>
      <c r="O40" s="82"/>
      <c r="P40" s="82"/>
      <c r="Q40" s="82">
        <v>1000</v>
      </c>
      <c r="R40" s="82">
        <v>500</v>
      </c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16">
        <f t="shared" si="0"/>
        <v>2500</v>
      </c>
      <c r="AF40" s="14">
        <v>20000</v>
      </c>
      <c r="AG40" s="14">
        <v>3510</v>
      </c>
      <c r="AH40" s="8">
        <f t="shared" si="1"/>
        <v>26010</v>
      </c>
      <c r="AI40" s="27"/>
      <c r="AJ40" s="18">
        <f t="shared" si="2"/>
        <v>26010</v>
      </c>
    </row>
    <row r="41" spans="1:36" x14ac:dyDescent="0.25">
      <c r="A41" s="11" t="s">
        <v>126</v>
      </c>
      <c r="B41" s="23" t="s">
        <v>127</v>
      </c>
      <c r="C41" s="24" t="s">
        <v>27</v>
      </c>
      <c r="D41" s="30" t="s">
        <v>128</v>
      </c>
      <c r="E41" s="83"/>
      <c r="F41" s="84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>
        <v>1000</v>
      </c>
      <c r="W41" s="82"/>
      <c r="X41" s="82"/>
      <c r="Y41" s="82"/>
      <c r="Z41" s="82"/>
      <c r="AA41" s="82"/>
      <c r="AB41" s="82"/>
      <c r="AC41" s="82"/>
      <c r="AD41" s="82"/>
      <c r="AE41" s="16">
        <f t="shared" si="0"/>
        <v>1000</v>
      </c>
      <c r="AF41" s="14">
        <v>20000</v>
      </c>
      <c r="AG41" s="14">
        <v>3000</v>
      </c>
      <c r="AH41" s="8">
        <f t="shared" si="1"/>
        <v>24000</v>
      </c>
      <c r="AI41" s="27">
        <v>6000</v>
      </c>
      <c r="AJ41" s="18">
        <f t="shared" si="2"/>
        <v>18000</v>
      </c>
    </row>
    <row r="42" spans="1:36" x14ac:dyDescent="0.25">
      <c r="A42" s="11" t="s">
        <v>129</v>
      </c>
      <c r="B42" s="23" t="s">
        <v>130</v>
      </c>
      <c r="C42" s="24" t="s">
        <v>27</v>
      </c>
      <c r="D42" s="13" t="s">
        <v>131</v>
      </c>
      <c r="E42" s="77"/>
      <c r="F42" s="78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16">
        <f t="shared" si="0"/>
        <v>0</v>
      </c>
      <c r="AF42" s="14">
        <v>100000</v>
      </c>
      <c r="AG42" s="14"/>
      <c r="AH42" s="8">
        <f t="shared" si="1"/>
        <v>100000</v>
      </c>
      <c r="AI42" s="19"/>
      <c r="AJ42" s="18">
        <f t="shared" si="2"/>
        <v>100000</v>
      </c>
    </row>
    <row r="43" spans="1:36" x14ac:dyDescent="0.25">
      <c r="A43" s="11" t="s">
        <v>132</v>
      </c>
      <c r="B43" s="23" t="s">
        <v>133</v>
      </c>
      <c r="C43" s="24" t="s">
        <v>27</v>
      </c>
      <c r="D43" s="13"/>
      <c r="E43" s="77"/>
      <c r="F43" s="78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16">
        <f t="shared" si="0"/>
        <v>0</v>
      </c>
      <c r="AF43" s="14">
        <v>150000</v>
      </c>
      <c r="AG43" s="14"/>
      <c r="AH43" s="8">
        <f t="shared" si="1"/>
        <v>150000</v>
      </c>
      <c r="AI43" s="19"/>
      <c r="AJ43" s="18">
        <f t="shared" si="2"/>
        <v>150000</v>
      </c>
    </row>
    <row r="44" spans="1:36" x14ac:dyDescent="0.25">
      <c r="A44" s="11" t="s">
        <v>160</v>
      </c>
      <c r="B44" s="23" t="s">
        <v>175</v>
      </c>
      <c r="C44" s="24" t="s">
        <v>34</v>
      </c>
      <c r="D44" s="13" t="s">
        <v>161</v>
      </c>
      <c r="E44" s="77"/>
      <c r="F44" s="78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>
        <v>1000</v>
      </c>
      <c r="AC44" s="79"/>
      <c r="AD44" s="79"/>
      <c r="AE44" s="16">
        <f t="shared" si="0"/>
        <v>1000</v>
      </c>
      <c r="AF44" s="14">
        <v>12500</v>
      </c>
      <c r="AG44" s="14">
        <v>1800</v>
      </c>
      <c r="AH44" s="8">
        <f t="shared" si="1"/>
        <v>15300</v>
      </c>
      <c r="AI44" s="19"/>
      <c r="AJ44" s="18">
        <f t="shared" si="2"/>
        <v>15300</v>
      </c>
    </row>
    <row r="45" spans="1:36" x14ac:dyDescent="0.25">
      <c r="A45" s="11" t="s">
        <v>162</v>
      </c>
      <c r="B45" s="23" t="s">
        <v>176</v>
      </c>
      <c r="C45" s="24" t="s">
        <v>34</v>
      </c>
      <c r="D45" s="13" t="s">
        <v>163</v>
      </c>
      <c r="E45" s="77"/>
      <c r="F45" s="78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16">
        <f t="shared" si="0"/>
        <v>0</v>
      </c>
      <c r="AF45" s="14">
        <v>12700</v>
      </c>
      <c r="AG45" s="14">
        <v>1350</v>
      </c>
      <c r="AH45" s="8">
        <f t="shared" si="1"/>
        <v>14050</v>
      </c>
      <c r="AI45" s="19"/>
      <c r="AJ45" s="18">
        <f t="shared" si="2"/>
        <v>14050</v>
      </c>
    </row>
    <row r="46" spans="1:36" x14ac:dyDescent="0.25">
      <c r="A46" s="11" t="s">
        <v>181</v>
      </c>
      <c r="B46" s="23" t="s">
        <v>182</v>
      </c>
      <c r="C46" s="24" t="s">
        <v>34</v>
      </c>
      <c r="D46" s="13" t="s">
        <v>183</v>
      </c>
      <c r="E46" s="77"/>
      <c r="F46" s="78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>
        <v>500</v>
      </c>
      <c r="AA46" s="79"/>
      <c r="AB46" s="79"/>
      <c r="AC46" s="79"/>
      <c r="AD46" s="79"/>
      <c r="AE46" s="16">
        <f t="shared" si="0"/>
        <v>500</v>
      </c>
      <c r="AF46" s="14">
        <v>3600</v>
      </c>
      <c r="AG46" s="14">
        <v>900</v>
      </c>
      <c r="AH46" s="8">
        <f t="shared" si="1"/>
        <v>5000</v>
      </c>
      <c r="AI46" s="19"/>
      <c r="AJ46" s="18">
        <f t="shared" si="2"/>
        <v>5000</v>
      </c>
    </row>
    <row r="47" spans="1:36" x14ac:dyDescent="0.25">
      <c r="A47" s="2"/>
      <c r="B47" s="31"/>
      <c r="C47" s="32"/>
      <c r="D47" s="2" t="s">
        <v>134</v>
      </c>
      <c r="E47" s="2"/>
      <c r="F47" s="2"/>
      <c r="G47" s="18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33">
        <f>SUM(AE5:AE46)</f>
        <v>141000</v>
      </c>
      <c r="AF47" s="8">
        <f>SUM(AF5:AF46)</f>
        <v>1192800</v>
      </c>
      <c r="AG47" s="8">
        <f>SUM(AG5:AG44)</f>
        <v>94980</v>
      </c>
      <c r="AH47" s="8">
        <f>SUM(AH5:AH46)</f>
        <v>1431030</v>
      </c>
      <c r="AI47" s="34">
        <f>SUM(AI5:AI46)</f>
        <v>31780</v>
      </c>
      <c r="AJ47" s="18">
        <f>SUM(AJ5:AJ46)</f>
        <v>1399250</v>
      </c>
    </row>
    <row r="48" spans="1:36" x14ac:dyDescent="0.25">
      <c r="A48" s="35" t="s">
        <v>135</v>
      </c>
      <c r="B48" s="35"/>
      <c r="C48" s="36"/>
      <c r="D48" s="37"/>
      <c r="E48" s="37"/>
      <c r="F48" s="37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3"/>
      <c r="AF48" s="39"/>
      <c r="AG48" s="39"/>
      <c r="AH48" s="8"/>
      <c r="AI48" s="40"/>
      <c r="AJ48" s="41"/>
    </row>
    <row r="49" spans="1:36" x14ac:dyDescent="0.25">
      <c r="A49" s="20">
        <v>1</v>
      </c>
      <c r="B49" s="42" t="s">
        <v>330</v>
      </c>
      <c r="C49" s="42" t="s">
        <v>23</v>
      </c>
      <c r="D49" s="13" t="s">
        <v>137</v>
      </c>
      <c r="E49" s="43"/>
      <c r="F49" s="43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45">
        <f>SUM(E49:AD49)</f>
        <v>0</v>
      </c>
      <c r="AF49" s="44">
        <v>30000</v>
      </c>
      <c r="AG49" s="44"/>
      <c r="AH49" s="46">
        <f>AE49+AF49+AG49</f>
        <v>30000</v>
      </c>
      <c r="AI49" s="47"/>
      <c r="AJ49" s="18">
        <f>AH49-AI49</f>
        <v>30000</v>
      </c>
    </row>
    <row r="50" spans="1:36" x14ac:dyDescent="0.25">
      <c r="A50" s="20">
        <v>2</v>
      </c>
      <c r="B50" s="12" t="s">
        <v>138</v>
      </c>
      <c r="C50" s="42" t="s">
        <v>16</v>
      </c>
      <c r="D50" s="13" t="s">
        <v>139</v>
      </c>
      <c r="E50" s="43"/>
      <c r="F50" s="43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45">
        <f t="shared" ref="AE50:AE54" si="3">SUM(E50:AD50)</f>
        <v>0</v>
      </c>
      <c r="AF50" s="14">
        <v>20000</v>
      </c>
      <c r="AG50" s="44"/>
      <c r="AH50" s="46">
        <f t="shared" ref="AH50:AH54" si="4">AE50+AF50+AG50</f>
        <v>20000</v>
      </c>
      <c r="AI50" s="19"/>
      <c r="AJ50" s="18">
        <f t="shared" ref="AJ50:AJ54" si="5">AH50-AI50</f>
        <v>20000</v>
      </c>
    </row>
    <row r="51" spans="1:36" x14ac:dyDescent="0.25">
      <c r="A51" s="20">
        <v>3</v>
      </c>
      <c r="B51" s="12" t="s">
        <v>140</v>
      </c>
      <c r="C51" s="48" t="s">
        <v>56</v>
      </c>
      <c r="D51" s="13" t="s">
        <v>141</v>
      </c>
      <c r="E51" s="43"/>
      <c r="F51" s="43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45">
        <f t="shared" si="3"/>
        <v>0</v>
      </c>
      <c r="AF51" s="14">
        <v>23000</v>
      </c>
      <c r="AG51" s="44"/>
      <c r="AH51" s="46">
        <f t="shared" si="4"/>
        <v>23000</v>
      </c>
      <c r="AI51" s="19"/>
      <c r="AJ51" s="18">
        <f t="shared" si="5"/>
        <v>23000</v>
      </c>
    </row>
    <row r="52" spans="1:36" x14ac:dyDescent="0.25">
      <c r="A52" s="20">
        <v>4</v>
      </c>
      <c r="B52" s="12" t="s">
        <v>142</v>
      </c>
      <c r="C52" s="12" t="s">
        <v>34</v>
      </c>
      <c r="D52" s="13" t="s">
        <v>143</v>
      </c>
      <c r="E52" s="43"/>
      <c r="F52" s="43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45">
        <f t="shared" si="3"/>
        <v>0</v>
      </c>
      <c r="AF52" s="14">
        <v>0</v>
      </c>
      <c r="AG52" s="44"/>
      <c r="AH52" s="46">
        <f t="shared" si="4"/>
        <v>0</v>
      </c>
      <c r="AI52" s="19"/>
      <c r="AJ52" s="18">
        <f t="shared" si="5"/>
        <v>0</v>
      </c>
    </row>
    <row r="53" spans="1:36" x14ac:dyDescent="0.25">
      <c r="A53" s="20">
        <v>5</v>
      </c>
      <c r="B53" s="23" t="s">
        <v>144</v>
      </c>
      <c r="C53" s="12" t="s">
        <v>16</v>
      </c>
      <c r="D53" s="49" t="s">
        <v>145</v>
      </c>
      <c r="E53" s="72"/>
      <c r="F53" s="72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45">
        <f t="shared" si="3"/>
        <v>0</v>
      </c>
      <c r="AF53" s="50">
        <v>0</v>
      </c>
      <c r="AG53" s="14"/>
      <c r="AH53" s="46">
        <f t="shared" si="4"/>
        <v>0</v>
      </c>
      <c r="AI53" s="51"/>
      <c r="AJ53" s="18">
        <f t="shared" si="5"/>
        <v>0</v>
      </c>
    </row>
    <row r="54" spans="1:36" x14ac:dyDescent="0.25">
      <c r="A54" s="52">
        <v>6</v>
      </c>
      <c r="B54" s="12" t="s">
        <v>178</v>
      </c>
      <c r="C54" s="12" t="s">
        <v>179</v>
      </c>
      <c r="D54" s="13" t="s">
        <v>180</v>
      </c>
      <c r="E54" s="43"/>
      <c r="F54" s="43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45">
        <f t="shared" si="3"/>
        <v>0</v>
      </c>
      <c r="AF54" s="14">
        <v>15000</v>
      </c>
      <c r="AG54" s="44"/>
      <c r="AH54" s="46">
        <f t="shared" si="4"/>
        <v>15000</v>
      </c>
      <c r="AI54" s="27"/>
      <c r="AJ54" s="18">
        <f t="shared" si="5"/>
        <v>15000</v>
      </c>
    </row>
    <row r="55" spans="1:36" x14ac:dyDescent="0.25">
      <c r="A55" s="35"/>
      <c r="B55" s="2"/>
      <c r="C55" s="2"/>
      <c r="D55" s="53" t="s">
        <v>146</v>
      </c>
      <c r="E55" s="53"/>
      <c r="F55" s="53"/>
      <c r="G55" s="8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54">
        <f>SUM(AE49:AE54)</f>
        <v>0</v>
      </c>
      <c r="AF55" s="18">
        <f>SUM(AF49:AF54)</f>
        <v>88000</v>
      </c>
      <c r="AG55" s="18"/>
      <c r="AH55" s="18">
        <f>SUM(AH49:AH54)</f>
        <v>88000</v>
      </c>
      <c r="AI55" s="55">
        <f>SUM(AI49:AI53)</f>
        <v>0</v>
      </c>
      <c r="AJ55" s="18">
        <f>SUM(AJ49:AJ54)</f>
        <v>88000</v>
      </c>
    </row>
    <row r="56" spans="1:36" x14ac:dyDescent="0.25">
      <c r="A56" s="35" t="s">
        <v>147</v>
      </c>
      <c r="B56" s="52"/>
      <c r="C56" s="56"/>
      <c r="D56" s="57"/>
      <c r="E56" s="57"/>
      <c r="F56" s="57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60"/>
      <c r="AF56" s="58"/>
      <c r="AG56" s="58"/>
      <c r="AH56" s="61"/>
      <c r="AI56" s="62"/>
      <c r="AJ56" s="41"/>
    </row>
    <row r="57" spans="1:36" x14ac:dyDescent="0.25">
      <c r="A57" s="20">
        <v>1</v>
      </c>
      <c r="B57" s="42" t="s">
        <v>148</v>
      </c>
      <c r="C57" s="42" t="s">
        <v>34</v>
      </c>
      <c r="D57" s="43" t="s">
        <v>149</v>
      </c>
      <c r="E57" s="43"/>
      <c r="F57" s="43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>
        <v>1000</v>
      </c>
      <c r="X57" s="26">
        <v>1000</v>
      </c>
      <c r="Y57" s="26"/>
      <c r="Z57" s="26">
        <v>1000</v>
      </c>
      <c r="AA57" s="26"/>
      <c r="AB57" s="26"/>
      <c r="AC57" s="26"/>
      <c r="AD57" s="26"/>
      <c r="AE57" s="45">
        <f>SUM(E57:AD57)</f>
        <v>3000</v>
      </c>
      <c r="AF57" s="44">
        <v>25000</v>
      </c>
      <c r="AG57" s="44">
        <v>1800</v>
      </c>
      <c r="AH57" s="46">
        <f>AE57+AF57+AG57</f>
        <v>29800</v>
      </c>
      <c r="AI57" s="47"/>
      <c r="AJ57" s="18">
        <f>AH57-AI57</f>
        <v>29800</v>
      </c>
    </row>
    <row r="58" spans="1:36" x14ac:dyDescent="0.25">
      <c r="A58" s="20">
        <v>2</v>
      </c>
      <c r="B58" s="12" t="s">
        <v>150</v>
      </c>
      <c r="C58" s="12" t="s">
        <v>27</v>
      </c>
      <c r="D58" s="13" t="s">
        <v>151</v>
      </c>
      <c r="E58" s="43"/>
      <c r="F58" s="43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45">
        <f t="shared" ref="AE58:AE60" si="6">SUM(E58:AD58)</f>
        <v>0</v>
      </c>
      <c r="AF58" s="14">
        <v>30000</v>
      </c>
      <c r="AG58" s="44"/>
      <c r="AH58" s="46">
        <f t="shared" ref="AH58:AH60" si="7">AE58+AF58+AG58</f>
        <v>30000</v>
      </c>
      <c r="AI58" s="19"/>
      <c r="AJ58" s="18">
        <f t="shared" ref="AJ58:AJ60" si="8">AH58-AI58</f>
        <v>30000</v>
      </c>
    </row>
    <row r="59" spans="1:36" x14ac:dyDescent="0.25">
      <c r="A59" s="20">
        <v>3</v>
      </c>
      <c r="B59" s="12" t="s">
        <v>152</v>
      </c>
      <c r="C59" s="12" t="s">
        <v>27</v>
      </c>
      <c r="D59" s="13" t="s">
        <v>153</v>
      </c>
      <c r="E59" s="43"/>
      <c r="F59" s="43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45">
        <f t="shared" si="6"/>
        <v>0</v>
      </c>
      <c r="AF59" s="14">
        <v>25000</v>
      </c>
      <c r="AG59" s="44"/>
      <c r="AH59" s="46">
        <f t="shared" si="7"/>
        <v>25000</v>
      </c>
      <c r="AI59" s="19">
        <v>1200</v>
      </c>
      <c r="AJ59" s="18">
        <f t="shared" si="8"/>
        <v>23800</v>
      </c>
    </row>
    <row r="60" spans="1:36" x14ac:dyDescent="0.25">
      <c r="A60" s="52">
        <v>4</v>
      </c>
      <c r="B60" s="24" t="s">
        <v>154</v>
      </c>
      <c r="C60" s="12" t="s">
        <v>19</v>
      </c>
      <c r="D60" s="13" t="s">
        <v>155</v>
      </c>
      <c r="E60" s="43"/>
      <c r="F60" s="43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45">
        <f t="shared" si="6"/>
        <v>0</v>
      </c>
      <c r="AF60" s="14">
        <v>20000</v>
      </c>
      <c r="AG60" s="44"/>
      <c r="AH60" s="46">
        <f t="shared" si="7"/>
        <v>20000</v>
      </c>
      <c r="AI60" s="19"/>
      <c r="AJ60" s="18">
        <f t="shared" si="8"/>
        <v>20000</v>
      </c>
    </row>
    <row r="61" spans="1:36" x14ac:dyDescent="0.25">
      <c r="A61" s="35"/>
      <c r="B61" s="32"/>
      <c r="C61" s="63"/>
      <c r="D61" s="53" t="s">
        <v>156</v>
      </c>
      <c r="E61" s="53"/>
      <c r="F61" s="53"/>
      <c r="G61" s="8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54">
        <f>SUM(AE57:AE60)</f>
        <v>3000</v>
      </c>
      <c r="AF61" s="8">
        <f>SUM(AF57:AF60)</f>
        <v>100000</v>
      </c>
      <c r="AG61" s="8"/>
      <c r="AH61" s="8">
        <f>SUM(AH57:AH60)</f>
        <v>104800</v>
      </c>
      <c r="AI61" s="8">
        <f>SUM(AI57:AI59)</f>
        <v>1200</v>
      </c>
      <c r="AJ61" s="8">
        <f>SUM(AJ57:AJ60)</f>
        <v>103600</v>
      </c>
    </row>
    <row r="62" spans="1:36" x14ac:dyDescent="0.25">
      <c r="A62" s="35" t="s">
        <v>157</v>
      </c>
      <c r="B62" s="52"/>
      <c r="C62" s="56"/>
      <c r="D62" s="57"/>
      <c r="E62" s="57"/>
      <c r="F62" s="57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60"/>
      <c r="AF62" s="58"/>
      <c r="AG62" s="58"/>
      <c r="AH62" s="61"/>
      <c r="AI62" s="62"/>
      <c r="AJ62" s="41"/>
    </row>
    <row r="63" spans="1:36" x14ac:dyDescent="0.25">
      <c r="A63" s="20">
        <v>1</v>
      </c>
      <c r="B63" s="42" t="s">
        <v>158</v>
      </c>
      <c r="C63" s="42" t="s">
        <v>19</v>
      </c>
      <c r="D63" s="13">
        <v>1236977351</v>
      </c>
      <c r="E63" s="43"/>
      <c r="F63" s="43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45"/>
      <c r="AF63" s="44">
        <v>40000</v>
      </c>
      <c r="AG63" s="44"/>
      <c r="AH63" s="46">
        <f>AF63+AE63+AG63</f>
        <v>40000</v>
      </c>
      <c r="AI63" s="47"/>
      <c r="AJ63" s="18">
        <f>AH63-AI63</f>
        <v>40000</v>
      </c>
    </row>
    <row r="65" spans="1:36" x14ac:dyDescent="0.25">
      <c r="A65" s="2" t="s">
        <v>164</v>
      </c>
      <c r="B65" s="12"/>
      <c r="C65" s="12"/>
      <c r="D65" s="13"/>
      <c r="E65" s="13"/>
      <c r="F65" s="13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6">
        <f>SUM(G65)</f>
        <v>0</v>
      </c>
      <c r="AF65" s="14"/>
      <c r="AG65" s="14"/>
      <c r="AH65" s="8"/>
      <c r="AI65" s="19"/>
      <c r="AJ65" s="18"/>
    </row>
    <row r="66" spans="1:36" x14ac:dyDescent="0.25">
      <c r="A66" s="20">
        <v>1</v>
      </c>
      <c r="B66" s="23" t="s">
        <v>165</v>
      </c>
      <c r="C66" s="12" t="s">
        <v>27</v>
      </c>
      <c r="D66" s="13" t="s">
        <v>166</v>
      </c>
      <c r="E66" s="13"/>
      <c r="F66" s="13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6">
        <f>SUM(G66)</f>
        <v>0</v>
      </c>
      <c r="AF66" s="14">
        <v>40000</v>
      </c>
      <c r="AG66" s="14">
        <v>5000</v>
      </c>
      <c r="AH66" s="8">
        <f>AE66+AF66+AG66</f>
        <v>45000</v>
      </c>
      <c r="AI66" s="19"/>
      <c r="AJ66" s="18">
        <f>AH66-AI66</f>
        <v>45000</v>
      </c>
    </row>
    <row r="67" spans="1:36" x14ac:dyDescent="0.25">
      <c r="A67" s="20">
        <v>2</v>
      </c>
      <c r="B67" s="12" t="s">
        <v>167</v>
      </c>
      <c r="C67" s="64" t="s">
        <v>168</v>
      </c>
      <c r="D67" s="13" t="s">
        <v>169</v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6">
        <f>SUM(G67)</f>
        <v>0</v>
      </c>
      <c r="AF67" s="14">
        <v>35000</v>
      </c>
      <c r="AG67" s="14">
        <v>1200</v>
      </c>
      <c r="AH67" s="8">
        <f>AE67+AF67+AG67</f>
        <v>36200</v>
      </c>
      <c r="AI67" s="19"/>
      <c r="AJ67" s="18">
        <f t="shared" ref="AJ67:AJ69" si="9">AH67-AI67</f>
        <v>36200</v>
      </c>
    </row>
    <row r="68" spans="1:36" x14ac:dyDescent="0.25">
      <c r="A68" s="20">
        <v>3</v>
      </c>
      <c r="B68" s="12" t="s">
        <v>170</v>
      </c>
      <c r="C68" s="64" t="s">
        <v>27</v>
      </c>
      <c r="D68" s="13" t="s">
        <v>184</v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6">
        <f>SUM(G68)</f>
        <v>0</v>
      </c>
      <c r="AF68" s="14">
        <v>13200</v>
      </c>
      <c r="AG68" s="14"/>
      <c r="AH68" s="8">
        <f t="shared" ref="AH68:AH69" si="10">AE68+AF68+AG68</f>
        <v>13200</v>
      </c>
      <c r="AI68" s="19"/>
      <c r="AJ68" s="18">
        <f t="shared" si="9"/>
        <v>13200</v>
      </c>
    </row>
    <row r="69" spans="1:36" x14ac:dyDescent="0.25">
      <c r="A69" s="20">
        <v>4</v>
      </c>
      <c r="B69" s="12" t="s">
        <v>171</v>
      </c>
      <c r="C69" s="24" t="s">
        <v>27</v>
      </c>
      <c r="D69" s="13" t="s">
        <v>172</v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6">
        <f>SUM(G69)</f>
        <v>0</v>
      </c>
      <c r="AF69" s="14">
        <v>80000</v>
      </c>
      <c r="AG69" s="14">
        <v>5000</v>
      </c>
      <c r="AH69" s="8">
        <f t="shared" si="10"/>
        <v>85000</v>
      </c>
      <c r="AI69" s="19"/>
      <c r="AJ69" s="18">
        <f t="shared" si="9"/>
        <v>85000</v>
      </c>
    </row>
    <row r="70" spans="1:36" x14ac:dyDescent="0.25">
      <c r="A70" s="2"/>
      <c r="B70" s="2"/>
      <c r="C70" s="65"/>
      <c r="D70" s="53" t="s">
        <v>173</v>
      </c>
      <c r="E70" s="53"/>
      <c r="F70" s="53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16">
        <f>SUM(AE65:AE69)</f>
        <v>0</v>
      </c>
      <c r="AF70" s="8">
        <f>SUM(AF66:AF69)</f>
        <v>168200</v>
      </c>
      <c r="AG70" s="8">
        <f>SUM(AG66:AG69)</f>
        <v>11200</v>
      </c>
      <c r="AH70" s="8">
        <f>SUM(AH66:AH69)</f>
        <v>179400</v>
      </c>
      <c r="AI70" s="34">
        <f>AI66+AI67</f>
        <v>0</v>
      </c>
      <c r="AJ70" s="18">
        <f>SUM(AJ66:AJ69)</f>
        <v>179400</v>
      </c>
    </row>
    <row r="71" spans="1:36" x14ac:dyDescent="0.25">
      <c r="A71" s="2"/>
      <c r="B71" s="2"/>
      <c r="C71" s="65"/>
      <c r="D71" s="53"/>
      <c r="E71" s="53"/>
      <c r="F71" s="5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6"/>
      <c r="AF71" s="8"/>
      <c r="AG71" s="8"/>
      <c r="AH71" s="8"/>
      <c r="AI71" s="34"/>
      <c r="AJ71" s="18"/>
    </row>
    <row r="72" spans="1:36" ht="15.75" thickBot="1" x14ac:dyDescent="0.3">
      <c r="A72" s="66"/>
      <c r="B72" s="66"/>
      <c r="C72" s="66"/>
      <c r="D72" s="66" t="s">
        <v>174</v>
      </c>
      <c r="E72" s="66"/>
      <c r="F72" s="66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8">
        <f>AE47+AE55+AE61+AE63+AE70</f>
        <v>144000</v>
      </c>
      <c r="AF72" s="69">
        <f>AF47+AF55+AF61+AF63+AF70</f>
        <v>1589000</v>
      </c>
      <c r="AG72" s="69">
        <f>SUM(AG47,AG70)</f>
        <v>106180</v>
      </c>
      <c r="AH72" s="69">
        <f>AH47+AH55+AH61+AH63+AH70</f>
        <v>1843230</v>
      </c>
      <c r="AI72" s="70">
        <f>AI47+AI56+AI61+AI63+AI70</f>
        <v>32980</v>
      </c>
      <c r="AJ72" s="71">
        <f>AJ47+AJ55+AJ61+AJ63+AJ70</f>
        <v>1810250</v>
      </c>
    </row>
    <row r="73" spans="1:36" ht="15.75" thickTop="1" x14ac:dyDescent="0.25"/>
  </sheetData>
  <mergeCells count="4">
    <mergeCell ref="A1:AJ1"/>
    <mergeCell ref="B2:AJ2"/>
    <mergeCell ref="AJ3:AJ4"/>
    <mergeCell ref="E3:AD3"/>
  </mergeCells>
  <pageMargins left="0.7" right="0.7" top="0.75" bottom="0.75" header="0.3" footer="0.3"/>
  <pageSetup scale="5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305A-2D8F-4F56-A830-74B78705B613}">
  <sheetPr>
    <pageSetUpPr fitToPage="1"/>
  </sheetPr>
  <dimension ref="A1:AH75"/>
  <sheetViews>
    <sheetView topLeftCell="A40" zoomScale="85" zoomScaleNormal="85" workbookViewId="0">
      <selection activeCell="AK10" sqref="AK10"/>
    </sheetView>
  </sheetViews>
  <sheetFormatPr defaultRowHeight="15" x14ac:dyDescent="0.25"/>
  <cols>
    <col min="1" max="1" width="8.140625" customWidth="1"/>
    <col min="2" max="2" width="27.140625" bestFit="1" customWidth="1"/>
    <col min="3" max="3" width="16.42578125" bestFit="1" customWidth="1"/>
    <col min="4" max="4" width="15.42578125" hidden="1" customWidth="1"/>
    <col min="5" max="28" width="12.28515625" hidden="1" customWidth="1"/>
    <col min="29" max="29" width="11.7109375" style="85" hidden="1" customWidth="1"/>
    <col min="30" max="30" width="14.85546875" hidden="1" customWidth="1"/>
    <col min="31" max="31" width="20.28515625" hidden="1" customWidth="1"/>
    <col min="32" max="32" width="13.28515625" bestFit="1" customWidth="1"/>
    <col min="33" max="33" width="14.140625" bestFit="1" customWidth="1"/>
    <col min="34" max="34" width="13.28515625" bestFit="1" customWidth="1"/>
  </cols>
  <sheetData>
    <row r="1" spans="1:34" x14ac:dyDescent="0.25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1"/>
    </row>
    <row r="2" spans="1:34" x14ac:dyDescent="0.25">
      <c r="A2" s="1">
        <v>46054</v>
      </c>
      <c r="B2" s="249" t="s">
        <v>1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1"/>
    </row>
    <row r="3" spans="1:34" x14ac:dyDescent="0.25">
      <c r="A3" s="2" t="s">
        <v>2</v>
      </c>
      <c r="B3" s="3"/>
      <c r="C3" s="4"/>
      <c r="D3" s="3"/>
      <c r="E3" s="240" t="s">
        <v>9</v>
      </c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5"/>
      <c r="AD3" s="5"/>
      <c r="AE3" s="5"/>
      <c r="AF3" s="6"/>
      <c r="AG3" s="7" t="s">
        <v>3</v>
      </c>
      <c r="AH3" s="252" t="s">
        <v>4</v>
      </c>
    </row>
    <row r="4" spans="1:34" x14ac:dyDescent="0.25">
      <c r="A4" s="2" t="s">
        <v>5</v>
      </c>
      <c r="B4" s="2" t="s">
        <v>6</v>
      </c>
      <c r="C4" s="2" t="s">
        <v>7</v>
      </c>
      <c r="D4" s="2" t="s">
        <v>8</v>
      </c>
      <c r="E4" s="75">
        <v>46024</v>
      </c>
      <c r="F4" s="75">
        <v>46083</v>
      </c>
      <c r="G4" s="75">
        <v>46114</v>
      </c>
      <c r="H4" s="75">
        <v>46144</v>
      </c>
      <c r="I4" s="75">
        <v>46205</v>
      </c>
      <c r="J4" s="75">
        <v>46236</v>
      </c>
      <c r="K4" s="75">
        <v>46267</v>
      </c>
      <c r="L4" s="75">
        <v>46297</v>
      </c>
      <c r="M4" s="75">
        <v>46328</v>
      </c>
      <c r="N4" s="75">
        <v>46358</v>
      </c>
      <c r="O4" s="75" t="s">
        <v>203</v>
      </c>
      <c r="P4" s="75" t="s">
        <v>202</v>
      </c>
      <c r="Q4" s="75" t="s">
        <v>204</v>
      </c>
      <c r="R4" s="75" t="s">
        <v>206</v>
      </c>
      <c r="S4" s="75" t="s">
        <v>205</v>
      </c>
      <c r="T4" s="75" t="s">
        <v>207</v>
      </c>
      <c r="U4" s="75" t="s">
        <v>208</v>
      </c>
      <c r="V4" s="75" t="s">
        <v>209</v>
      </c>
      <c r="W4" s="75" t="s">
        <v>210</v>
      </c>
      <c r="X4" s="75" t="s">
        <v>211</v>
      </c>
      <c r="Y4" s="75" t="s">
        <v>213</v>
      </c>
      <c r="Z4" s="75" t="s">
        <v>212</v>
      </c>
      <c r="AA4" s="75" t="s">
        <v>214</v>
      </c>
      <c r="AB4" s="73" t="s">
        <v>215</v>
      </c>
      <c r="AC4" s="9" t="s">
        <v>9</v>
      </c>
      <c r="AD4" s="8" t="s">
        <v>10</v>
      </c>
      <c r="AE4" s="8" t="s">
        <v>11</v>
      </c>
      <c r="AF4" s="8" t="s">
        <v>12</v>
      </c>
      <c r="AG4" s="10" t="s">
        <v>13</v>
      </c>
      <c r="AH4" s="253"/>
    </row>
    <row r="5" spans="1:34" x14ac:dyDescent="0.25">
      <c r="A5" s="11" t="s">
        <v>14</v>
      </c>
      <c r="B5" s="12" t="s">
        <v>15</v>
      </c>
      <c r="C5" s="12" t="s">
        <v>16</v>
      </c>
      <c r="D5" s="13">
        <v>2050766384</v>
      </c>
      <c r="E5" s="79"/>
      <c r="F5" s="79"/>
      <c r="G5" s="79">
        <v>1000</v>
      </c>
      <c r="H5" s="79"/>
      <c r="I5" s="79"/>
      <c r="J5" s="79"/>
      <c r="K5" s="15"/>
      <c r="L5" s="15"/>
      <c r="M5" s="15"/>
      <c r="N5" s="15"/>
      <c r="O5" s="15"/>
      <c r="P5" s="15"/>
      <c r="Q5" s="15">
        <v>1000</v>
      </c>
      <c r="R5" s="15"/>
      <c r="S5" s="15">
        <v>1000</v>
      </c>
      <c r="T5" s="15"/>
      <c r="U5" s="15"/>
      <c r="V5" s="15"/>
      <c r="W5" s="15"/>
      <c r="X5" s="15"/>
      <c r="Y5" s="15"/>
      <c r="Z5" s="15"/>
      <c r="AA5" s="15"/>
      <c r="AB5" s="20"/>
      <c r="AC5" s="86">
        <f t="shared" ref="AC5:AC46" si="0">SUM(E5:AB5)</f>
        <v>3000</v>
      </c>
      <c r="AD5" s="14">
        <v>28000</v>
      </c>
      <c r="AE5" s="14">
        <v>1800</v>
      </c>
      <c r="AF5" s="8">
        <f>AC5+AD5+AE5</f>
        <v>32800</v>
      </c>
      <c r="AG5" s="17"/>
      <c r="AH5" s="18">
        <f>AF5-AG5</f>
        <v>32800</v>
      </c>
    </row>
    <row r="6" spans="1:34" x14ac:dyDescent="0.25">
      <c r="A6" s="11" t="s">
        <v>17</v>
      </c>
      <c r="B6" s="12" t="s">
        <v>18</v>
      </c>
      <c r="C6" s="12" t="s">
        <v>19</v>
      </c>
      <c r="D6" s="13" t="s">
        <v>20</v>
      </c>
      <c r="E6" s="79">
        <v>1000</v>
      </c>
      <c r="F6" s="79"/>
      <c r="G6" s="79"/>
      <c r="H6" s="79"/>
      <c r="I6" s="79"/>
      <c r="J6" s="79">
        <v>1000</v>
      </c>
      <c r="K6" s="15"/>
      <c r="L6" s="15"/>
      <c r="M6" s="15"/>
      <c r="N6" s="15"/>
      <c r="O6" s="15"/>
      <c r="P6" s="15">
        <v>1000</v>
      </c>
      <c r="Q6" s="15"/>
      <c r="R6" s="15"/>
      <c r="S6" s="15"/>
      <c r="T6" s="15"/>
      <c r="U6" s="15"/>
      <c r="V6" s="15"/>
      <c r="W6" s="15">
        <v>1000</v>
      </c>
      <c r="X6" s="15"/>
      <c r="Y6" s="15"/>
      <c r="Z6" s="15"/>
      <c r="AA6" s="15"/>
      <c r="AB6" s="20"/>
      <c r="AC6" s="86">
        <f t="shared" si="0"/>
        <v>4000</v>
      </c>
      <c r="AD6" s="14">
        <v>25000</v>
      </c>
      <c r="AE6" s="14"/>
      <c r="AF6" s="8">
        <f t="shared" ref="AF6:AF48" si="1">AC6+AD6+AE6</f>
        <v>29000</v>
      </c>
      <c r="AG6" s="17"/>
      <c r="AH6" s="18">
        <f t="shared" ref="AH6:AH48" si="2">AF6-AG6</f>
        <v>29000</v>
      </c>
    </row>
    <row r="7" spans="1:34" x14ac:dyDescent="0.25">
      <c r="A7" s="11" t="s">
        <v>21</v>
      </c>
      <c r="B7" s="12" t="s">
        <v>22</v>
      </c>
      <c r="C7" s="12" t="s">
        <v>23</v>
      </c>
      <c r="D7" s="13" t="s">
        <v>24</v>
      </c>
      <c r="E7" s="79"/>
      <c r="F7" s="79"/>
      <c r="G7" s="79"/>
      <c r="H7" s="79"/>
      <c r="I7" s="79"/>
      <c r="J7" s="79"/>
      <c r="K7" s="15"/>
      <c r="L7" s="15"/>
      <c r="M7" s="15">
        <v>1000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500</v>
      </c>
      <c r="AB7" s="20"/>
      <c r="AC7" s="86">
        <f t="shared" si="0"/>
        <v>1500</v>
      </c>
      <c r="AD7" s="14">
        <v>20000</v>
      </c>
      <c r="AE7" s="14">
        <v>1800</v>
      </c>
      <c r="AF7" s="8">
        <f t="shared" si="1"/>
        <v>23300</v>
      </c>
      <c r="AG7" s="19"/>
      <c r="AH7" s="18">
        <f t="shared" si="2"/>
        <v>23300</v>
      </c>
    </row>
    <row r="8" spans="1:34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79"/>
      <c r="F8" s="79"/>
      <c r="G8" s="79"/>
      <c r="H8" s="79"/>
      <c r="I8" s="79"/>
      <c r="J8" s="79"/>
      <c r="K8" s="15"/>
      <c r="L8" s="15"/>
      <c r="M8" s="15"/>
      <c r="N8" s="15"/>
      <c r="O8" s="15"/>
      <c r="P8" s="15"/>
      <c r="Q8" s="15"/>
      <c r="R8" s="15"/>
      <c r="S8" s="15">
        <v>500</v>
      </c>
      <c r="T8" s="15"/>
      <c r="U8" s="15"/>
      <c r="V8" s="15"/>
      <c r="W8" s="15"/>
      <c r="X8" s="15"/>
      <c r="Y8" s="15"/>
      <c r="Z8" s="15"/>
      <c r="AA8" s="15"/>
      <c r="AB8" s="20"/>
      <c r="AC8" s="86">
        <f t="shared" si="0"/>
        <v>500</v>
      </c>
      <c r="AD8" s="14">
        <v>9000</v>
      </c>
      <c r="AE8" s="14"/>
      <c r="AF8" s="8">
        <f t="shared" si="1"/>
        <v>9500</v>
      </c>
      <c r="AG8" s="19"/>
      <c r="AH8" s="18">
        <f t="shared" si="2"/>
        <v>9500</v>
      </c>
    </row>
    <row r="9" spans="1:34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79"/>
      <c r="F9" s="79"/>
      <c r="G9" s="79">
        <v>1000</v>
      </c>
      <c r="H9" s="79"/>
      <c r="I9" s="79"/>
      <c r="J9" s="79"/>
      <c r="K9" s="15"/>
      <c r="L9" s="15"/>
      <c r="M9" s="15"/>
      <c r="N9" s="15"/>
      <c r="O9" s="15"/>
      <c r="P9" s="15"/>
      <c r="Q9" s="15"/>
      <c r="R9" s="15"/>
      <c r="S9" s="15">
        <v>1000</v>
      </c>
      <c r="T9" s="15"/>
      <c r="U9" s="15"/>
      <c r="V9" s="15"/>
      <c r="W9" s="15"/>
      <c r="X9" s="15"/>
      <c r="Y9" s="15">
        <v>1000</v>
      </c>
      <c r="Z9" s="15"/>
      <c r="AA9" s="15"/>
      <c r="AB9" s="20"/>
      <c r="AC9" s="86">
        <f t="shared" si="0"/>
        <v>3000</v>
      </c>
      <c r="AD9" s="14">
        <f>30000+40000</f>
        <v>70000</v>
      </c>
      <c r="AE9" s="14">
        <v>21200</v>
      </c>
      <c r="AF9" s="8">
        <f t="shared" si="1"/>
        <v>94200</v>
      </c>
      <c r="AG9" s="19"/>
      <c r="AH9" s="18">
        <f t="shared" si="2"/>
        <v>94200</v>
      </c>
    </row>
    <row r="10" spans="1:34" x14ac:dyDescent="0.25">
      <c r="A10" s="11" t="s">
        <v>32</v>
      </c>
      <c r="B10" s="20" t="s">
        <v>33</v>
      </c>
      <c r="C10" s="12" t="s">
        <v>34</v>
      </c>
      <c r="D10" s="13" t="s">
        <v>35</v>
      </c>
      <c r="E10" s="79"/>
      <c r="F10" s="79"/>
      <c r="G10" s="79"/>
      <c r="H10" s="79"/>
      <c r="I10" s="79">
        <v>500</v>
      </c>
      <c r="J10" s="79"/>
      <c r="K10" s="15"/>
      <c r="L10" s="15"/>
      <c r="M10" s="15"/>
      <c r="N10" s="15">
        <v>500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20"/>
      <c r="AC10" s="86">
        <f t="shared" si="0"/>
        <v>1000</v>
      </c>
      <c r="AD10" s="14">
        <v>20000</v>
      </c>
      <c r="AE10" s="14">
        <v>3000</v>
      </c>
      <c r="AF10" s="8">
        <f t="shared" si="1"/>
        <v>24000</v>
      </c>
      <c r="AG10" s="19"/>
      <c r="AH10" s="18">
        <f t="shared" si="2"/>
        <v>24000</v>
      </c>
    </row>
    <row r="11" spans="1:34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79"/>
      <c r="F11" s="79"/>
      <c r="G11" s="79">
        <v>1000</v>
      </c>
      <c r="H11" s="79"/>
      <c r="I11" s="79"/>
      <c r="J11" s="79"/>
      <c r="K11" s="15">
        <v>1000</v>
      </c>
      <c r="L11" s="15"/>
      <c r="M11" s="15">
        <v>1000</v>
      </c>
      <c r="N11" s="15"/>
      <c r="O11" s="15"/>
      <c r="P11" s="87"/>
      <c r="Q11" s="15">
        <v>1000</v>
      </c>
      <c r="R11" s="15"/>
      <c r="S11" s="15">
        <v>1000</v>
      </c>
      <c r="T11" s="15"/>
      <c r="U11" s="15"/>
      <c r="V11" s="15"/>
      <c r="W11" s="15"/>
      <c r="X11" s="15"/>
      <c r="Y11" s="15"/>
      <c r="Z11" s="15"/>
      <c r="AA11" s="15"/>
      <c r="AB11" s="20"/>
      <c r="AC11" s="86">
        <f t="shared" si="0"/>
        <v>5000</v>
      </c>
      <c r="AD11" s="14">
        <v>50000</v>
      </c>
      <c r="AE11" s="14">
        <v>2800</v>
      </c>
      <c r="AF11" s="8">
        <f t="shared" si="1"/>
        <v>57800</v>
      </c>
      <c r="AG11" s="19"/>
      <c r="AH11" s="18">
        <f t="shared" si="2"/>
        <v>57800</v>
      </c>
    </row>
    <row r="12" spans="1:34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79"/>
      <c r="F12" s="79"/>
      <c r="G12" s="79"/>
      <c r="H12" s="79">
        <v>500</v>
      </c>
      <c r="I12" s="79"/>
      <c r="J12" s="79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20"/>
      <c r="AC12" s="86">
        <f t="shared" si="0"/>
        <v>500</v>
      </c>
      <c r="AD12" s="14">
        <v>7200</v>
      </c>
      <c r="AE12" s="14">
        <v>600</v>
      </c>
      <c r="AF12" s="8">
        <f t="shared" si="1"/>
        <v>8300</v>
      </c>
      <c r="AG12" s="19"/>
      <c r="AH12" s="18">
        <f t="shared" si="2"/>
        <v>8300</v>
      </c>
    </row>
    <row r="13" spans="1:34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79"/>
      <c r="F13" s="79"/>
      <c r="G13" s="79">
        <v>1000</v>
      </c>
      <c r="H13" s="79">
        <v>1000</v>
      </c>
      <c r="I13" s="79">
        <v>500</v>
      </c>
      <c r="J13" s="79"/>
      <c r="K13" s="15"/>
      <c r="L13" s="15">
        <v>500</v>
      </c>
      <c r="M13" s="15">
        <v>1000</v>
      </c>
      <c r="N13" s="15">
        <v>500</v>
      </c>
      <c r="O13" s="15">
        <v>500</v>
      </c>
      <c r="P13" s="15"/>
      <c r="Q13" s="15"/>
      <c r="R13" s="15"/>
      <c r="S13" s="15"/>
      <c r="T13" s="15">
        <v>500</v>
      </c>
      <c r="U13" s="15"/>
      <c r="V13" s="15">
        <v>500</v>
      </c>
      <c r="W13" s="15"/>
      <c r="X13" s="15">
        <v>500</v>
      </c>
      <c r="Y13" s="15">
        <v>1000</v>
      </c>
      <c r="Z13" s="15">
        <v>500</v>
      </c>
      <c r="AA13" s="15">
        <v>500</v>
      </c>
      <c r="AB13" s="20"/>
      <c r="AC13" s="86">
        <f t="shared" si="0"/>
        <v>8500</v>
      </c>
      <c r="AD13" s="14">
        <v>30000</v>
      </c>
      <c r="AE13" s="14">
        <v>3790</v>
      </c>
      <c r="AF13" s="8">
        <f t="shared" si="1"/>
        <v>42290</v>
      </c>
      <c r="AG13" s="19"/>
      <c r="AH13" s="18">
        <f t="shared" si="2"/>
        <v>42290</v>
      </c>
    </row>
    <row r="14" spans="1:34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79"/>
      <c r="F14" s="79"/>
      <c r="G14" s="79"/>
      <c r="H14" s="79"/>
      <c r="I14" s="79"/>
      <c r="J14" s="79"/>
      <c r="K14" s="15">
        <v>1000</v>
      </c>
      <c r="L14" s="15"/>
      <c r="M14" s="15"/>
      <c r="N14" s="15"/>
      <c r="O14" s="15"/>
      <c r="P14" s="15"/>
      <c r="Q14" s="15">
        <v>1000</v>
      </c>
      <c r="R14" s="15"/>
      <c r="S14" s="15">
        <v>1000</v>
      </c>
      <c r="T14" s="15"/>
      <c r="U14" s="15"/>
      <c r="V14" s="15"/>
      <c r="W14" s="15"/>
      <c r="X14" s="15"/>
      <c r="Y14" s="15"/>
      <c r="Z14" s="15"/>
      <c r="AA14" s="15"/>
      <c r="AB14" s="20"/>
      <c r="AC14" s="86">
        <f t="shared" si="0"/>
        <v>3000</v>
      </c>
      <c r="AD14" s="14">
        <v>50000</v>
      </c>
      <c r="AE14" s="14">
        <v>2800</v>
      </c>
      <c r="AF14" s="8">
        <f t="shared" si="1"/>
        <v>55800</v>
      </c>
      <c r="AG14" s="19"/>
      <c r="AH14" s="18">
        <f t="shared" si="2"/>
        <v>55800</v>
      </c>
    </row>
    <row r="15" spans="1:34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79"/>
      <c r="F15" s="79"/>
      <c r="G15" s="79"/>
      <c r="H15" s="79"/>
      <c r="I15" s="79"/>
      <c r="J15" s="79"/>
      <c r="K15" s="15"/>
      <c r="L15" s="15"/>
      <c r="M15" s="15"/>
      <c r="N15" s="15"/>
      <c r="O15" s="15"/>
      <c r="P15" s="15"/>
      <c r="Q15" s="15">
        <v>1000</v>
      </c>
      <c r="R15" s="15"/>
      <c r="S15" s="15">
        <v>1000</v>
      </c>
      <c r="T15" s="15"/>
      <c r="U15" s="15"/>
      <c r="V15" s="15"/>
      <c r="W15" s="15"/>
      <c r="X15" s="15"/>
      <c r="Y15" s="15"/>
      <c r="Z15" s="15"/>
      <c r="AA15" s="15"/>
      <c r="AB15" s="79"/>
      <c r="AC15" s="86">
        <f t="shared" si="0"/>
        <v>2000</v>
      </c>
      <c r="AD15" s="14">
        <v>20000</v>
      </c>
      <c r="AE15" s="14">
        <v>1800</v>
      </c>
      <c r="AF15" s="8">
        <f t="shared" si="1"/>
        <v>23800</v>
      </c>
      <c r="AG15" s="19"/>
      <c r="AH15" s="18">
        <f t="shared" si="2"/>
        <v>23800</v>
      </c>
    </row>
    <row r="16" spans="1:34" x14ac:dyDescent="0.25">
      <c r="A16" s="11" t="s">
        <v>51</v>
      </c>
      <c r="B16" s="12" t="s">
        <v>52</v>
      </c>
      <c r="C16" s="12" t="s">
        <v>34</v>
      </c>
      <c r="D16" s="13" t="s">
        <v>53</v>
      </c>
      <c r="E16" s="79"/>
      <c r="F16" s="79"/>
      <c r="G16" s="79">
        <v>1000</v>
      </c>
      <c r="H16" s="79"/>
      <c r="I16" s="79"/>
      <c r="J16" s="79"/>
      <c r="K16" s="15">
        <v>1000</v>
      </c>
      <c r="L16" s="87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20"/>
      <c r="AC16" s="86">
        <f t="shared" si="0"/>
        <v>2000</v>
      </c>
      <c r="AD16" s="14">
        <v>20000</v>
      </c>
      <c r="AE16" s="14">
        <v>1300</v>
      </c>
      <c r="AF16" s="8">
        <f t="shared" si="1"/>
        <v>23300</v>
      </c>
      <c r="AG16" s="19">
        <v>5000</v>
      </c>
      <c r="AH16" s="18">
        <f t="shared" si="2"/>
        <v>18300</v>
      </c>
    </row>
    <row r="17" spans="1:34" x14ac:dyDescent="0.25">
      <c r="A17" s="11" t="s">
        <v>54</v>
      </c>
      <c r="B17" s="12" t="s">
        <v>199</v>
      </c>
      <c r="C17" s="64" t="s">
        <v>19</v>
      </c>
      <c r="D17" s="13" t="s">
        <v>200</v>
      </c>
      <c r="E17" s="79"/>
      <c r="F17" s="79"/>
      <c r="G17" s="79"/>
      <c r="H17" s="79"/>
      <c r="I17" s="79"/>
      <c r="J17" s="7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79"/>
      <c r="AC17" s="86">
        <f t="shared" si="0"/>
        <v>0</v>
      </c>
      <c r="AD17" s="14">
        <v>12000</v>
      </c>
      <c r="AE17" s="14">
        <v>1760</v>
      </c>
      <c r="AF17" s="8">
        <f t="shared" si="1"/>
        <v>13760</v>
      </c>
      <c r="AG17" s="19"/>
      <c r="AH17" s="18">
        <f t="shared" si="2"/>
        <v>13760</v>
      </c>
    </row>
    <row r="18" spans="1:34" x14ac:dyDescent="0.25">
      <c r="A18" s="11" t="s">
        <v>58</v>
      </c>
      <c r="B18" s="12" t="s">
        <v>59</v>
      </c>
      <c r="C18" s="22" t="s">
        <v>34</v>
      </c>
      <c r="D18" s="13" t="s">
        <v>60</v>
      </c>
      <c r="E18" s="79"/>
      <c r="F18" s="79"/>
      <c r="G18" s="79"/>
      <c r="H18" s="79"/>
      <c r="I18" s="79"/>
      <c r="J18" s="79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79"/>
      <c r="AC18" s="86">
        <f t="shared" si="0"/>
        <v>0</v>
      </c>
      <c r="AD18" s="14">
        <v>35000</v>
      </c>
      <c r="AE18" s="14">
        <v>1000</v>
      </c>
      <c r="AF18" s="8">
        <f t="shared" si="1"/>
        <v>36000</v>
      </c>
      <c r="AG18" s="19"/>
      <c r="AH18" s="18">
        <f t="shared" si="2"/>
        <v>36000</v>
      </c>
    </row>
    <row r="19" spans="1:34" x14ac:dyDescent="0.25">
      <c r="A19" s="11" t="s">
        <v>61</v>
      </c>
      <c r="B19" s="12" t="s">
        <v>62</v>
      </c>
      <c r="C19" s="13" t="s">
        <v>19</v>
      </c>
      <c r="D19" s="13" t="s">
        <v>63</v>
      </c>
      <c r="E19" s="79"/>
      <c r="F19" s="79"/>
      <c r="G19" s="79"/>
      <c r="H19" s="79"/>
      <c r="I19" s="79"/>
      <c r="J19" s="7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79"/>
      <c r="AC19" s="86">
        <f t="shared" si="0"/>
        <v>0</v>
      </c>
      <c r="AD19" s="14">
        <v>20000</v>
      </c>
      <c r="AE19" s="14">
        <v>3000</v>
      </c>
      <c r="AF19" s="8">
        <f t="shared" si="1"/>
        <v>23000</v>
      </c>
      <c r="AG19" s="19"/>
      <c r="AH19" s="18">
        <f t="shared" si="2"/>
        <v>23000</v>
      </c>
    </row>
    <row r="20" spans="1:34" x14ac:dyDescent="0.25">
      <c r="A20" s="11" t="s">
        <v>64</v>
      </c>
      <c r="B20" s="12" t="s">
        <v>65</v>
      </c>
      <c r="C20" s="22" t="s">
        <v>19</v>
      </c>
      <c r="D20" s="13" t="s">
        <v>66</v>
      </c>
      <c r="E20" s="79"/>
      <c r="F20" s="79"/>
      <c r="G20" s="79"/>
      <c r="H20" s="79"/>
      <c r="I20" s="79"/>
      <c r="J20" s="79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79"/>
      <c r="AC20" s="86">
        <f t="shared" si="0"/>
        <v>0</v>
      </c>
      <c r="AD20" s="14">
        <v>20000</v>
      </c>
      <c r="AE20" s="14">
        <v>3000</v>
      </c>
      <c r="AF20" s="8">
        <f t="shared" si="1"/>
        <v>23000</v>
      </c>
      <c r="AG20" s="19"/>
      <c r="AH20" s="18">
        <f t="shared" si="2"/>
        <v>23000</v>
      </c>
    </row>
    <row r="21" spans="1:34" x14ac:dyDescent="0.25">
      <c r="A21" s="11" t="s">
        <v>67</v>
      </c>
      <c r="B21" s="12" t="s">
        <v>68</v>
      </c>
      <c r="C21" s="22" t="s">
        <v>34</v>
      </c>
      <c r="D21" s="13" t="s">
        <v>69</v>
      </c>
      <c r="E21" s="79"/>
      <c r="F21" s="79"/>
      <c r="G21" s="79"/>
      <c r="H21" s="79"/>
      <c r="I21" s="79"/>
      <c r="J21" s="79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79"/>
      <c r="AC21" s="86">
        <f t="shared" si="0"/>
        <v>0</v>
      </c>
      <c r="AD21" s="14">
        <v>20000</v>
      </c>
      <c r="AE21" s="14">
        <v>3500</v>
      </c>
      <c r="AF21" s="8">
        <f t="shared" si="1"/>
        <v>23500</v>
      </c>
      <c r="AG21" s="19"/>
      <c r="AH21" s="18">
        <f t="shared" si="2"/>
        <v>23500</v>
      </c>
    </row>
    <row r="22" spans="1:34" x14ac:dyDescent="0.25">
      <c r="A22" s="11" t="s">
        <v>70</v>
      </c>
      <c r="B22" s="20" t="s">
        <v>71</v>
      </c>
      <c r="C22" s="22" t="s">
        <v>34</v>
      </c>
      <c r="D22" s="13" t="s">
        <v>72</v>
      </c>
      <c r="E22" s="79"/>
      <c r="F22" s="79"/>
      <c r="G22" s="79"/>
      <c r="H22" s="79"/>
      <c r="I22" s="79"/>
      <c r="J22" s="79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79"/>
      <c r="AC22" s="86">
        <f t="shared" si="0"/>
        <v>0</v>
      </c>
      <c r="AD22" s="14">
        <v>29000</v>
      </c>
      <c r="AE22" s="14">
        <v>3000</v>
      </c>
      <c r="AF22" s="8">
        <f t="shared" si="1"/>
        <v>32000</v>
      </c>
      <c r="AG22" s="19"/>
      <c r="AH22" s="18">
        <f t="shared" si="2"/>
        <v>32000</v>
      </c>
    </row>
    <row r="23" spans="1:34" x14ac:dyDescent="0.25">
      <c r="A23" s="11" t="s">
        <v>73</v>
      </c>
      <c r="B23" s="12" t="s">
        <v>74</v>
      </c>
      <c r="C23" s="22" t="s">
        <v>19</v>
      </c>
      <c r="D23" s="13" t="s">
        <v>75</v>
      </c>
      <c r="E23" s="79"/>
      <c r="F23" s="79"/>
      <c r="G23" s="79"/>
      <c r="H23" s="79"/>
      <c r="I23" s="79"/>
      <c r="J23" s="7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79"/>
      <c r="AC23" s="86">
        <f t="shared" si="0"/>
        <v>0</v>
      </c>
      <c r="AD23" s="14">
        <v>10000</v>
      </c>
      <c r="AE23" s="14"/>
      <c r="AF23" s="8">
        <f t="shared" si="1"/>
        <v>10000</v>
      </c>
      <c r="AG23" s="19"/>
      <c r="AH23" s="18">
        <f t="shared" si="2"/>
        <v>10000</v>
      </c>
    </row>
    <row r="24" spans="1:34" x14ac:dyDescent="0.25">
      <c r="A24" s="11" t="s">
        <v>76</v>
      </c>
      <c r="B24" s="12" t="s">
        <v>77</v>
      </c>
      <c r="C24" s="22" t="s">
        <v>78</v>
      </c>
      <c r="D24" s="13" t="s">
        <v>79</v>
      </c>
      <c r="E24" s="79"/>
      <c r="F24" s="79"/>
      <c r="G24" s="79"/>
      <c r="H24" s="79"/>
      <c r="I24" s="79"/>
      <c r="J24" s="79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79"/>
      <c r="AC24" s="86">
        <f t="shared" si="0"/>
        <v>0</v>
      </c>
      <c r="AD24" s="14">
        <v>50000</v>
      </c>
      <c r="AE24" s="14">
        <v>7000</v>
      </c>
      <c r="AF24" s="8">
        <f>AC24+AD24+AE24</f>
        <v>57000</v>
      </c>
      <c r="AG24" s="19"/>
      <c r="AH24" s="18">
        <f t="shared" si="2"/>
        <v>57000</v>
      </c>
    </row>
    <row r="25" spans="1:34" x14ac:dyDescent="0.25">
      <c r="A25" s="11" t="s">
        <v>80</v>
      </c>
      <c r="B25" s="20" t="s">
        <v>81</v>
      </c>
      <c r="C25" s="22" t="s">
        <v>27</v>
      </c>
      <c r="D25" s="13" t="s">
        <v>82</v>
      </c>
      <c r="E25" s="79"/>
      <c r="F25" s="79"/>
      <c r="G25" s="79"/>
      <c r="H25" s="79"/>
      <c r="I25" s="79"/>
      <c r="J25" s="79"/>
      <c r="K25" s="15"/>
      <c r="L25" s="15"/>
      <c r="M25" s="15"/>
      <c r="N25" s="15"/>
      <c r="O25" s="15"/>
      <c r="P25" s="15"/>
      <c r="Q25" s="15">
        <v>1000</v>
      </c>
      <c r="R25" s="15"/>
      <c r="S25" s="15">
        <v>1000</v>
      </c>
      <c r="T25" s="15"/>
      <c r="U25" s="15"/>
      <c r="V25" s="15"/>
      <c r="W25" s="15"/>
      <c r="X25" s="15"/>
      <c r="Y25" s="15"/>
      <c r="Z25" s="15"/>
      <c r="AA25" s="15"/>
      <c r="AB25" s="79"/>
      <c r="AC25" s="86">
        <f t="shared" si="0"/>
        <v>2000</v>
      </c>
      <c r="AD25" s="14">
        <v>20000</v>
      </c>
      <c r="AE25" s="14">
        <v>1100</v>
      </c>
      <c r="AF25" s="8">
        <f t="shared" si="1"/>
        <v>23100</v>
      </c>
      <c r="AG25" s="19"/>
      <c r="AH25" s="18">
        <f t="shared" si="2"/>
        <v>23100</v>
      </c>
    </row>
    <row r="26" spans="1:34" x14ac:dyDescent="0.25">
      <c r="A26" s="11" t="s">
        <v>83</v>
      </c>
      <c r="B26" s="20" t="s">
        <v>84</v>
      </c>
      <c r="C26" s="22" t="s">
        <v>34</v>
      </c>
      <c r="D26" s="13" t="s">
        <v>85</v>
      </c>
      <c r="E26" s="79"/>
      <c r="F26" s="79"/>
      <c r="G26" s="79"/>
      <c r="H26" s="79"/>
      <c r="I26" s="79"/>
      <c r="J26" s="79"/>
      <c r="K26" s="15">
        <v>1000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79"/>
      <c r="AC26" s="86">
        <f t="shared" si="0"/>
        <v>1000</v>
      </c>
      <c r="AD26" s="14">
        <v>20000</v>
      </c>
      <c r="AE26" s="14">
        <v>900</v>
      </c>
      <c r="AF26" s="8">
        <f t="shared" si="1"/>
        <v>21900</v>
      </c>
      <c r="AG26" s="19"/>
      <c r="AH26" s="18">
        <f t="shared" si="2"/>
        <v>21900</v>
      </c>
    </row>
    <row r="27" spans="1:34" x14ac:dyDescent="0.25">
      <c r="A27" s="11" t="s">
        <v>86</v>
      </c>
      <c r="B27" s="12" t="s">
        <v>87</v>
      </c>
      <c r="C27" s="22" t="s">
        <v>34</v>
      </c>
      <c r="D27" s="13" t="s">
        <v>88</v>
      </c>
      <c r="E27" s="79"/>
      <c r="F27" s="79"/>
      <c r="G27" s="79"/>
      <c r="H27" s="79"/>
      <c r="I27" s="79"/>
      <c r="J27" s="79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79"/>
      <c r="AC27" s="86">
        <f t="shared" si="0"/>
        <v>0</v>
      </c>
      <c r="AD27" s="14">
        <v>9000</v>
      </c>
      <c r="AE27" s="14"/>
      <c r="AF27" s="8">
        <f t="shared" si="1"/>
        <v>9000</v>
      </c>
      <c r="AG27" s="19"/>
      <c r="AH27" s="18">
        <f t="shared" si="2"/>
        <v>9000</v>
      </c>
    </row>
    <row r="28" spans="1:34" x14ac:dyDescent="0.25">
      <c r="A28" s="11" t="s">
        <v>89</v>
      </c>
      <c r="B28" s="23" t="s">
        <v>90</v>
      </c>
      <c r="C28" s="24" t="s">
        <v>56</v>
      </c>
      <c r="D28" s="13" t="s">
        <v>91</v>
      </c>
      <c r="E28" s="79"/>
      <c r="F28" s="79"/>
      <c r="G28" s="79"/>
      <c r="H28" s="79"/>
      <c r="I28" s="79"/>
      <c r="J28" s="79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79"/>
      <c r="AC28" s="86">
        <f t="shared" si="0"/>
        <v>0</v>
      </c>
      <c r="AD28" s="14">
        <v>7000</v>
      </c>
      <c r="AE28" s="14"/>
      <c r="AF28" s="8">
        <f t="shared" si="1"/>
        <v>7000</v>
      </c>
      <c r="AG28" s="19"/>
      <c r="AH28" s="18">
        <f t="shared" si="2"/>
        <v>7000</v>
      </c>
    </row>
    <row r="29" spans="1:34" x14ac:dyDescent="0.25">
      <c r="A29" s="11" t="s">
        <v>92</v>
      </c>
      <c r="B29" s="23" t="s">
        <v>93</v>
      </c>
      <c r="C29" s="24" t="s">
        <v>19</v>
      </c>
      <c r="D29" s="13" t="s">
        <v>94</v>
      </c>
      <c r="E29" s="79"/>
      <c r="F29" s="79"/>
      <c r="G29" s="79"/>
      <c r="H29" s="79"/>
      <c r="I29" s="79"/>
      <c r="J29" s="79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79"/>
      <c r="AC29" s="86">
        <f t="shared" si="0"/>
        <v>0</v>
      </c>
      <c r="AD29" s="14">
        <v>20000</v>
      </c>
      <c r="AE29" s="14">
        <v>3000</v>
      </c>
      <c r="AF29" s="8">
        <f t="shared" si="1"/>
        <v>23000</v>
      </c>
      <c r="AG29" s="19"/>
      <c r="AH29" s="18">
        <f t="shared" si="2"/>
        <v>23000</v>
      </c>
    </row>
    <row r="30" spans="1:34" x14ac:dyDescent="0.25">
      <c r="A30" s="11" t="s">
        <v>95</v>
      </c>
      <c r="B30" s="23" t="s">
        <v>96</v>
      </c>
      <c r="C30" s="25" t="s">
        <v>16</v>
      </c>
      <c r="D30" s="13" t="s">
        <v>97</v>
      </c>
      <c r="E30" s="79"/>
      <c r="F30" s="79"/>
      <c r="G30" s="79"/>
      <c r="H30" s="79"/>
      <c r="I30" s="79"/>
      <c r="J30" s="79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79"/>
      <c r="AC30" s="86">
        <f t="shared" si="0"/>
        <v>0</v>
      </c>
      <c r="AD30" s="14">
        <v>25000</v>
      </c>
      <c r="AE30" s="14"/>
      <c r="AF30" s="8">
        <f t="shared" si="1"/>
        <v>25000</v>
      </c>
      <c r="AG30" s="19"/>
      <c r="AH30" s="18">
        <f t="shared" si="2"/>
        <v>25000</v>
      </c>
    </row>
    <row r="31" spans="1:34" x14ac:dyDescent="0.25">
      <c r="A31" s="11" t="s">
        <v>98</v>
      </c>
      <c r="B31" s="23" t="s">
        <v>99</v>
      </c>
      <c r="C31" s="24" t="s">
        <v>19</v>
      </c>
      <c r="D31" s="13" t="s">
        <v>100</v>
      </c>
      <c r="E31" s="79"/>
      <c r="F31" s="79"/>
      <c r="G31" s="79"/>
      <c r="H31" s="79"/>
      <c r="I31" s="79"/>
      <c r="J31" s="7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79"/>
      <c r="AC31" s="86">
        <f t="shared" si="0"/>
        <v>0</v>
      </c>
      <c r="AD31" s="14">
        <v>18000</v>
      </c>
      <c r="AE31" s="14">
        <v>2020</v>
      </c>
      <c r="AF31" s="8">
        <f t="shared" si="1"/>
        <v>20020</v>
      </c>
      <c r="AG31" s="19"/>
      <c r="AH31" s="18">
        <f t="shared" si="2"/>
        <v>20020</v>
      </c>
    </row>
    <row r="32" spans="1:34" x14ac:dyDescent="0.25">
      <c r="A32" s="11" t="s">
        <v>101</v>
      </c>
      <c r="B32" s="23" t="s">
        <v>102</v>
      </c>
      <c r="C32" s="12" t="s">
        <v>34</v>
      </c>
      <c r="D32" s="13" t="s">
        <v>103</v>
      </c>
      <c r="E32" s="79">
        <v>1000</v>
      </c>
      <c r="F32" s="79">
        <v>500</v>
      </c>
      <c r="G32" s="79">
        <v>500</v>
      </c>
      <c r="H32" s="79">
        <v>500</v>
      </c>
      <c r="I32" s="79">
        <v>500</v>
      </c>
      <c r="J32" s="79">
        <v>1000</v>
      </c>
      <c r="K32" s="15"/>
      <c r="L32" s="15">
        <v>500</v>
      </c>
      <c r="M32" s="15">
        <v>500</v>
      </c>
      <c r="N32" s="15"/>
      <c r="O32" s="15">
        <v>500</v>
      </c>
      <c r="P32" s="15">
        <v>1000</v>
      </c>
      <c r="Q32" s="15"/>
      <c r="R32" s="15">
        <v>500</v>
      </c>
      <c r="S32" s="15"/>
      <c r="T32" s="15">
        <v>500</v>
      </c>
      <c r="U32" s="15">
        <v>500</v>
      </c>
      <c r="V32" s="15">
        <v>500</v>
      </c>
      <c r="W32" s="15">
        <v>1000</v>
      </c>
      <c r="X32" s="15"/>
      <c r="Y32" s="15">
        <v>1000</v>
      </c>
      <c r="Z32" s="15">
        <v>500</v>
      </c>
      <c r="AA32" s="15">
        <v>500</v>
      </c>
      <c r="AB32" s="79">
        <v>500</v>
      </c>
      <c r="AC32" s="86">
        <f t="shared" si="0"/>
        <v>12000</v>
      </c>
      <c r="AD32" s="14">
        <v>20000</v>
      </c>
      <c r="AE32" s="14">
        <v>2300</v>
      </c>
      <c r="AF32" s="8">
        <f t="shared" si="1"/>
        <v>34300</v>
      </c>
      <c r="AG32" s="19"/>
      <c r="AH32" s="18">
        <f t="shared" si="2"/>
        <v>34300</v>
      </c>
    </row>
    <row r="33" spans="1:34" x14ac:dyDescent="0.25">
      <c r="A33" s="11" t="s">
        <v>104</v>
      </c>
      <c r="B33" s="23" t="s">
        <v>105</v>
      </c>
      <c r="C33" s="24" t="s">
        <v>34</v>
      </c>
      <c r="D33" s="13" t="s">
        <v>106</v>
      </c>
      <c r="E33" s="79"/>
      <c r="F33" s="79"/>
      <c r="G33" s="79"/>
      <c r="H33" s="79"/>
      <c r="I33" s="79"/>
      <c r="J33" s="79"/>
      <c r="K33" s="15">
        <v>1000</v>
      </c>
      <c r="L33" s="15"/>
      <c r="M33" s="15"/>
      <c r="N33" s="15"/>
      <c r="O33" s="15"/>
      <c r="P33" s="15"/>
      <c r="Q33" s="15">
        <v>1000</v>
      </c>
      <c r="R33" s="15"/>
      <c r="S33" s="15">
        <v>1000</v>
      </c>
      <c r="T33" s="15"/>
      <c r="U33" s="15"/>
      <c r="V33" s="15"/>
      <c r="W33" s="15"/>
      <c r="X33" s="15"/>
      <c r="Y33" s="15"/>
      <c r="Z33" s="15"/>
      <c r="AA33" s="15"/>
      <c r="AB33" s="79"/>
      <c r="AC33" s="86">
        <f t="shared" si="0"/>
        <v>3000</v>
      </c>
      <c r="AD33" s="14">
        <v>20000</v>
      </c>
      <c r="AE33" s="14">
        <v>1780</v>
      </c>
      <c r="AF33" s="8">
        <f t="shared" si="1"/>
        <v>24780</v>
      </c>
      <c r="AG33" s="19">
        <v>7000</v>
      </c>
      <c r="AH33" s="18">
        <f t="shared" si="2"/>
        <v>17780</v>
      </c>
    </row>
    <row r="34" spans="1:34" x14ac:dyDescent="0.25">
      <c r="A34" s="11" t="s">
        <v>107</v>
      </c>
      <c r="B34" s="23" t="s">
        <v>108</v>
      </c>
      <c r="C34" s="24" t="s">
        <v>19</v>
      </c>
      <c r="D34" s="13" t="s">
        <v>216</v>
      </c>
      <c r="E34" s="79"/>
      <c r="F34" s="79"/>
      <c r="G34" s="79"/>
      <c r="H34" s="79"/>
      <c r="I34" s="79"/>
      <c r="J34" s="79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79"/>
      <c r="AC34" s="86">
        <f t="shared" si="0"/>
        <v>0</v>
      </c>
      <c r="AD34" s="14">
        <v>20000</v>
      </c>
      <c r="AE34" s="14">
        <v>1800</v>
      </c>
      <c r="AF34" s="8">
        <f t="shared" si="1"/>
        <v>21800</v>
      </c>
      <c r="AG34" s="19"/>
      <c r="AH34" s="18">
        <f t="shared" si="2"/>
        <v>21800</v>
      </c>
    </row>
    <row r="35" spans="1:34" x14ac:dyDescent="0.25">
      <c r="A35" s="11" t="s">
        <v>110</v>
      </c>
      <c r="B35" s="23" t="s">
        <v>111</v>
      </c>
      <c r="C35" s="24" t="s">
        <v>19</v>
      </c>
      <c r="D35" s="13" t="s">
        <v>112</v>
      </c>
      <c r="E35" s="79"/>
      <c r="F35" s="79"/>
      <c r="G35" s="79"/>
      <c r="H35" s="79"/>
      <c r="I35" s="79"/>
      <c r="J35" s="79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79"/>
      <c r="AC35" s="86">
        <f t="shared" si="0"/>
        <v>0</v>
      </c>
      <c r="AD35" s="14">
        <v>30000</v>
      </c>
      <c r="AE35" s="14">
        <v>1000</v>
      </c>
      <c r="AF35" s="8">
        <f t="shared" si="1"/>
        <v>31000</v>
      </c>
      <c r="AG35" s="19"/>
      <c r="AH35" s="18">
        <f t="shared" si="2"/>
        <v>31000</v>
      </c>
    </row>
    <row r="36" spans="1:34" x14ac:dyDescent="0.25">
      <c r="A36" s="11" t="s">
        <v>113</v>
      </c>
      <c r="B36" s="20" t="s">
        <v>114</v>
      </c>
      <c r="C36" s="12" t="s">
        <v>115</v>
      </c>
      <c r="D36" s="25" t="s">
        <v>116</v>
      </c>
      <c r="E36" s="82"/>
      <c r="F36" s="82"/>
      <c r="G36" s="82"/>
      <c r="H36" s="82"/>
      <c r="I36" s="82"/>
      <c r="J36" s="82"/>
      <c r="K36" s="26"/>
      <c r="L36" s="26"/>
      <c r="M36" s="26"/>
      <c r="N36" s="26"/>
      <c r="O36" s="26"/>
      <c r="P36" s="26"/>
      <c r="Q36" s="26"/>
      <c r="R36" s="26"/>
      <c r="S36" s="26">
        <v>1000</v>
      </c>
      <c r="T36" s="26"/>
      <c r="U36" s="26"/>
      <c r="V36" s="26"/>
      <c r="W36" s="26"/>
      <c r="X36" s="26"/>
      <c r="Y36" s="26"/>
      <c r="Z36" s="26"/>
      <c r="AA36" s="26"/>
      <c r="AB36" s="82"/>
      <c r="AC36" s="86">
        <f t="shared" si="0"/>
        <v>1000</v>
      </c>
      <c r="AD36" s="14">
        <v>30000</v>
      </c>
      <c r="AE36" s="14">
        <v>1200</v>
      </c>
      <c r="AF36" s="8">
        <f t="shared" si="1"/>
        <v>32200</v>
      </c>
      <c r="AG36" s="27"/>
      <c r="AH36" s="18">
        <f t="shared" si="2"/>
        <v>32200</v>
      </c>
    </row>
    <row r="37" spans="1:34" x14ac:dyDescent="0.25">
      <c r="A37" s="11" t="s">
        <v>117</v>
      </c>
      <c r="B37" s="28" t="s">
        <v>118</v>
      </c>
      <c r="C37" s="24" t="s">
        <v>19</v>
      </c>
      <c r="D37" s="29">
        <v>1347174311</v>
      </c>
      <c r="E37" s="82"/>
      <c r="F37" s="82"/>
      <c r="G37" s="82"/>
      <c r="H37" s="82"/>
      <c r="I37" s="82"/>
      <c r="J37" s="82"/>
      <c r="K37" s="82"/>
      <c r="L37" s="82"/>
      <c r="M37" s="82">
        <v>500</v>
      </c>
      <c r="N37" s="82"/>
      <c r="O37" s="82">
        <v>500</v>
      </c>
      <c r="P37" s="82">
        <v>1000</v>
      </c>
      <c r="Q37" s="82"/>
      <c r="R37" s="82">
        <v>500</v>
      </c>
      <c r="S37" s="82">
        <v>1000</v>
      </c>
      <c r="T37" s="82">
        <v>500</v>
      </c>
      <c r="U37" s="82">
        <v>500</v>
      </c>
      <c r="V37" s="82">
        <v>500</v>
      </c>
      <c r="W37" s="82">
        <v>1000</v>
      </c>
      <c r="X37" s="82">
        <v>500</v>
      </c>
      <c r="Y37" s="82">
        <v>1000</v>
      </c>
      <c r="Z37" s="82">
        <v>500</v>
      </c>
      <c r="AA37" s="82">
        <v>500</v>
      </c>
      <c r="AB37" s="82">
        <v>500</v>
      </c>
      <c r="AC37" s="86">
        <f t="shared" si="0"/>
        <v>9000</v>
      </c>
      <c r="AD37" s="14">
        <v>25000</v>
      </c>
      <c r="AE37" s="14">
        <v>1800</v>
      </c>
      <c r="AF37" s="8">
        <f t="shared" si="1"/>
        <v>35800</v>
      </c>
      <c r="AG37" s="27"/>
      <c r="AH37" s="18">
        <f t="shared" si="2"/>
        <v>35800</v>
      </c>
    </row>
    <row r="38" spans="1:34" x14ac:dyDescent="0.25">
      <c r="A38" s="11" t="s">
        <v>119</v>
      </c>
      <c r="B38" s="28" t="s">
        <v>159</v>
      </c>
      <c r="C38" s="24" t="s">
        <v>34</v>
      </c>
      <c r="D38" s="30" t="s">
        <v>177</v>
      </c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6">
        <f t="shared" si="0"/>
        <v>0</v>
      </c>
      <c r="AD38" s="14">
        <v>18000</v>
      </c>
      <c r="AE38" s="14">
        <v>1200</v>
      </c>
      <c r="AF38" s="8">
        <f t="shared" si="1"/>
        <v>19200</v>
      </c>
      <c r="AG38" s="27"/>
      <c r="AH38" s="18">
        <f t="shared" si="2"/>
        <v>19200</v>
      </c>
    </row>
    <row r="39" spans="1:34" x14ac:dyDescent="0.25">
      <c r="A39" s="11" t="s">
        <v>120</v>
      </c>
      <c r="B39" s="28" t="s">
        <v>121</v>
      </c>
      <c r="C39" s="24" t="s">
        <v>23</v>
      </c>
      <c r="D39" s="30" t="s">
        <v>122</v>
      </c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6">
        <f t="shared" si="0"/>
        <v>0</v>
      </c>
      <c r="AD39" s="14">
        <v>25000</v>
      </c>
      <c r="AE39" s="14">
        <v>3000</v>
      </c>
      <c r="AF39" s="8">
        <f t="shared" si="1"/>
        <v>28000</v>
      </c>
      <c r="AG39" s="27"/>
      <c r="AH39" s="18">
        <f t="shared" si="2"/>
        <v>28000</v>
      </c>
    </row>
    <row r="40" spans="1:34" x14ac:dyDescent="0.25">
      <c r="A40" s="11" t="s">
        <v>123</v>
      </c>
      <c r="B40" s="28" t="s">
        <v>124</v>
      </c>
      <c r="C40" s="24" t="s">
        <v>34</v>
      </c>
      <c r="D40" s="30" t="s">
        <v>125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>
        <v>500</v>
      </c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6">
        <f t="shared" si="0"/>
        <v>500</v>
      </c>
      <c r="AD40" s="14">
        <v>20000</v>
      </c>
      <c r="AE40" s="14">
        <v>1830</v>
      </c>
      <c r="AF40" s="8">
        <f t="shared" si="1"/>
        <v>22330</v>
      </c>
      <c r="AG40" s="27"/>
      <c r="AH40" s="18">
        <f t="shared" si="2"/>
        <v>22330</v>
      </c>
    </row>
    <row r="41" spans="1:34" x14ac:dyDescent="0.25">
      <c r="A41" s="11" t="s">
        <v>126</v>
      </c>
      <c r="B41" s="23" t="s">
        <v>127</v>
      </c>
      <c r="C41" s="24" t="s">
        <v>27</v>
      </c>
      <c r="D41" s="30" t="s">
        <v>128</v>
      </c>
      <c r="E41" s="82"/>
      <c r="F41" s="82"/>
      <c r="G41" s="82"/>
      <c r="H41" s="82"/>
      <c r="I41" s="82"/>
      <c r="J41" s="82">
        <v>1000</v>
      </c>
      <c r="K41" s="82">
        <v>1000</v>
      </c>
      <c r="L41" s="82"/>
      <c r="M41" s="82"/>
      <c r="N41" s="82"/>
      <c r="O41" s="82"/>
      <c r="P41" s="82">
        <v>1000</v>
      </c>
      <c r="Q41" s="82"/>
      <c r="R41" s="82"/>
      <c r="S41" s="82"/>
      <c r="T41" s="82"/>
      <c r="U41" s="82"/>
      <c r="V41" s="82"/>
      <c r="W41" s="82">
        <v>1000</v>
      </c>
      <c r="X41" s="82"/>
      <c r="Y41" s="82"/>
      <c r="Z41" s="82"/>
      <c r="AA41" s="82"/>
      <c r="AB41" s="82"/>
      <c r="AC41" s="86">
        <f t="shared" si="0"/>
        <v>4000</v>
      </c>
      <c r="AD41" s="14">
        <v>20000</v>
      </c>
      <c r="AE41" s="14">
        <v>3000</v>
      </c>
      <c r="AF41" s="8">
        <f t="shared" si="1"/>
        <v>27000</v>
      </c>
      <c r="AG41" s="27">
        <v>6500</v>
      </c>
      <c r="AH41" s="18">
        <f t="shared" si="2"/>
        <v>20500</v>
      </c>
    </row>
    <row r="42" spans="1:34" x14ac:dyDescent="0.25">
      <c r="A42" s="11" t="s">
        <v>129</v>
      </c>
      <c r="B42" s="23" t="s">
        <v>130</v>
      </c>
      <c r="C42" s="24" t="s">
        <v>27</v>
      </c>
      <c r="D42" s="13" t="s">
        <v>131</v>
      </c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86">
        <f t="shared" si="0"/>
        <v>0</v>
      </c>
      <c r="AD42" s="14">
        <v>100000</v>
      </c>
      <c r="AE42" s="14"/>
      <c r="AF42" s="8">
        <f t="shared" si="1"/>
        <v>100000</v>
      </c>
      <c r="AG42" s="19"/>
      <c r="AH42" s="18">
        <f t="shared" si="2"/>
        <v>100000</v>
      </c>
    </row>
    <row r="43" spans="1:34" x14ac:dyDescent="0.25">
      <c r="A43" s="11" t="s">
        <v>132</v>
      </c>
      <c r="B43" s="23" t="s">
        <v>133</v>
      </c>
      <c r="C43" s="24" t="s">
        <v>27</v>
      </c>
      <c r="D43" s="13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86">
        <f t="shared" si="0"/>
        <v>0</v>
      </c>
      <c r="AD43" s="14">
        <v>150000</v>
      </c>
      <c r="AE43" s="14"/>
      <c r="AF43" s="8">
        <f t="shared" si="1"/>
        <v>150000</v>
      </c>
      <c r="AG43" s="19"/>
      <c r="AH43" s="18">
        <f t="shared" si="2"/>
        <v>150000</v>
      </c>
    </row>
    <row r="44" spans="1:34" x14ac:dyDescent="0.25">
      <c r="A44" s="11" t="s">
        <v>160</v>
      </c>
      <c r="B44" s="23" t="s">
        <v>175</v>
      </c>
      <c r="C44" s="24" t="s">
        <v>34</v>
      </c>
      <c r="D44" s="13" t="s">
        <v>161</v>
      </c>
      <c r="E44" s="79"/>
      <c r="F44" s="79"/>
      <c r="G44" s="79">
        <v>1000</v>
      </c>
      <c r="H44" s="79"/>
      <c r="I44" s="79"/>
      <c r="J44" s="79"/>
      <c r="K44" s="79"/>
      <c r="L44" s="79"/>
      <c r="M44" s="79">
        <v>1000</v>
      </c>
      <c r="N44" s="79"/>
      <c r="O44" s="79"/>
      <c r="P44" s="79"/>
      <c r="Q44" s="79">
        <v>1000</v>
      </c>
      <c r="R44" s="79"/>
      <c r="S44" s="79">
        <v>1000</v>
      </c>
      <c r="T44" s="79"/>
      <c r="U44" s="79"/>
      <c r="V44" s="79"/>
      <c r="W44" s="79"/>
      <c r="X44" s="79"/>
      <c r="Y44" s="79"/>
      <c r="Z44" s="79"/>
      <c r="AA44" s="79"/>
      <c r="AB44" s="79"/>
      <c r="AC44" s="86">
        <f t="shared" si="0"/>
        <v>4000</v>
      </c>
      <c r="AD44" s="14">
        <v>25000</v>
      </c>
      <c r="AE44" s="14">
        <v>2300</v>
      </c>
      <c r="AF44" s="8">
        <f t="shared" si="1"/>
        <v>31300</v>
      </c>
      <c r="AG44" s="19"/>
      <c r="AH44" s="18">
        <f t="shared" si="2"/>
        <v>31300</v>
      </c>
    </row>
    <row r="45" spans="1:34" x14ac:dyDescent="0.25">
      <c r="A45" s="11" t="s">
        <v>162</v>
      </c>
      <c r="B45" s="23" t="s">
        <v>176</v>
      </c>
      <c r="C45" s="24" t="s">
        <v>34</v>
      </c>
      <c r="D45" s="13" t="s">
        <v>163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86">
        <f t="shared" si="0"/>
        <v>0</v>
      </c>
      <c r="AD45" s="14">
        <v>19000</v>
      </c>
      <c r="AE45" s="14">
        <v>3000</v>
      </c>
      <c r="AF45" s="8">
        <f t="shared" si="1"/>
        <v>22000</v>
      </c>
      <c r="AG45" s="19"/>
      <c r="AH45" s="18">
        <f t="shared" si="2"/>
        <v>22000</v>
      </c>
    </row>
    <row r="46" spans="1:34" x14ac:dyDescent="0.25">
      <c r="A46" s="11" t="s">
        <v>181</v>
      </c>
      <c r="B46" s="23" t="s">
        <v>182</v>
      </c>
      <c r="C46" s="24" t="s">
        <v>34</v>
      </c>
      <c r="D46" s="13" t="s">
        <v>183</v>
      </c>
      <c r="E46" s="79">
        <v>1000</v>
      </c>
      <c r="F46" s="79">
        <v>500</v>
      </c>
      <c r="G46" s="79">
        <v>500</v>
      </c>
      <c r="H46" s="79">
        <v>500</v>
      </c>
      <c r="I46" s="79">
        <v>500</v>
      </c>
      <c r="J46" s="79">
        <v>1000</v>
      </c>
      <c r="K46" s="79"/>
      <c r="L46" s="79"/>
      <c r="M46" s="79">
        <v>500</v>
      </c>
      <c r="N46" s="79"/>
      <c r="O46" s="79">
        <v>500</v>
      </c>
      <c r="P46" s="79">
        <v>1000</v>
      </c>
      <c r="Q46" s="79"/>
      <c r="R46" s="79">
        <v>500</v>
      </c>
      <c r="S46" s="79">
        <v>1000</v>
      </c>
      <c r="T46" s="79">
        <v>500</v>
      </c>
      <c r="U46" s="79">
        <v>500</v>
      </c>
      <c r="V46" s="79">
        <v>500</v>
      </c>
      <c r="W46" s="79">
        <v>1000</v>
      </c>
      <c r="X46" s="79"/>
      <c r="Y46" s="79"/>
      <c r="Z46" s="79">
        <v>500</v>
      </c>
      <c r="AA46" s="79">
        <v>500</v>
      </c>
      <c r="AB46" s="79">
        <v>500</v>
      </c>
      <c r="AC46" s="86">
        <f t="shared" si="0"/>
        <v>11500</v>
      </c>
      <c r="AD46" s="14">
        <v>25000</v>
      </c>
      <c r="AE46" s="14">
        <v>2000</v>
      </c>
      <c r="AF46" s="8">
        <f t="shared" si="1"/>
        <v>38500</v>
      </c>
      <c r="AG46" s="19"/>
      <c r="AH46" s="18">
        <f t="shared" si="2"/>
        <v>38500</v>
      </c>
    </row>
    <row r="47" spans="1:34" x14ac:dyDescent="0.25">
      <c r="A47" s="11" t="s">
        <v>217</v>
      </c>
      <c r="B47" s="23" t="s">
        <v>221</v>
      </c>
      <c r="C47" s="24" t="s">
        <v>34</v>
      </c>
      <c r="D47" s="13" t="s">
        <v>222</v>
      </c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9"/>
      <c r="AD47" s="14"/>
      <c r="AE47" s="14"/>
      <c r="AF47" s="8"/>
      <c r="AG47" s="19"/>
      <c r="AH47" s="18"/>
    </row>
    <row r="48" spans="1:34" x14ac:dyDescent="0.25">
      <c r="A48" s="11" t="s">
        <v>220</v>
      </c>
      <c r="B48" s="23" t="s">
        <v>218</v>
      </c>
      <c r="C48" s="24" t="s">
        <v>56</v>
      </c>
      <c r="D48" s="13" t="s">
        <v>219</v>
      </c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9"/>
      <c r="AD48" s="14">
        <v>5000</v>
      </c>
      <c r="AE48" s="14">
        <v>900</v>
      </c>
      <c r="AF48" s="8">
        <f t="shared" si="1"/>
        <v>5900</v>
      </c>
      <c r="AG48" s="19"/>
      <c r="AH48" s="18">
        <f t="shared" si="2"/>
        <v>5900</v>
      </c>
    </row>
    <row r="49" spans="1:34" x14ac:dyDescent="0.25">
      <c r="A49" s="2"/>
      <c r="B49" s="31"/>
      <c r="C49" s="32"/>
      <c r="D49" s="2" t="s">
        <v>134</v>
      </c>
      <c r="E49" s="76">
        <f t="shared" ref="E49:X49" si="3">SUM(E5:E46)</f>
        <v>3000</v>
      </c>
      <c r="F49" s="76">
        <f t="shared" si="3"/>
        <v>1000</v>
      </c>
      <c r="G49" s="76">
        <f t="shared" si="3"/>
        <v>7000</v>
      </c>
      <c r="H49" s="76">
        <f t="shared" si="3"/>
        <v>2500</v>
      </c>
      <c r="I49" s="76">
        <f t="shared" si="3"/>
        <v>2000</v>
      </c>
      <c r="J49" s="76">
        <f t="shared" si="3"/>
        <v>4000</v>
      </c>
      <c r="K49" s="76">
        <f t="shared" si="3"/>
        <v>6000</v>
      </c>
      <c r="L49" s="76">
        <f t="shared" si="3"/>
        <v>1000</v>
      </c>
      <c r="M49" s="76">
        <f t="shared" si="3"/>
        <v>5500</v>
      </c>
      <c r="N49" s="76">
        <f t="shared" si="3"/>
        <v>1000</v>
      </c>
      <c r="O49" s="76">
        <f t="shared" si="3"/>
        <v>2500</v>
      </c>
      <c r="P49" s="76">
        <f t="shared" si="3"/>
        <v>5000</v>
      </c>
      <c r="Q49" s="76">
        <f t="shared" si="3"/>
        <v>7000</v>
      </c>
      <c r="R49" s="76">
        <f t="shared" si="3"/>
        <v>1500</v>
      </c>
      <c r="S49" s="76">
        <f t="shared" si="3"/>
        <v>11500</v>
      </c>
      <c r="T49" s="76">
        <f t="shared" si="3"/>
        <v>2000</v>
      </c>
      <c r="U49" s="76">
        <f t="shared" si="3"/>
        <v>1500</v>
      </c>
      <c r="V49" s="76">
        <f t="shared" si="3"/>
        <v>2000</v>
      </c>
      <c r="W49" s="76">
        <f t="shared" si="3"/>
        <v>5000</v>
      </c>
      <c r="X49" s="76">
        <f t="shared" si="3"/>
        <v>1000</v>
      </c>
      <c r="Y49" s="76"/>
      <c r="Z49" s="76">
        <f>SUM(Z5:Z46)</f>
        <v>2000</v>
      </c>
      <c r="AA49" s="76"/>
      <c r="AB49" s="76">
        <f>SUM(AB5:AB46)</f>
        <v>1500</v>
      </c>
      <c r="AC49" s="33">
        <f t="shared" ref="AC49:AH49" si="4">SUM(AC5:AC48)</f>
        <v>82000</v>
      </c>
      <c r="AD49" s="8">
        <f t="shared" si="4"/>
        <v>1216200</v>
      </c>
      <c r="AE49" s="8">
        <f t="shared" si="4"/>
        <v>97280</v>
      </c>
      <c r="AF49" s="8">
        <f t="shared" si="4"/>
        <v>1395480</v>
      </c>
      <c r="AG49" s="34">
        <f t="shared" si="4"/>
        <v>18500</v>
      </c>
      <c r="AH49" s="18">
        <f t="shared" si="4"/>
        <v>1376980</v>
      </c>
    </row>
    <row r="50" spans="1:34" x14ac:dyDescent="0.25">
      <c r="A50" s="35" t="s">
        <v>135</v>
      </c>
      <c r="B50" s="35"/>
      <c r="C50" s="36"/>
      <c r="D50" s="37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3"/>
      <c r="AD50" s="39"/>
      <c r="AE50" s="39"/>
      <c r="AF50" s="8"/>
      <c r="AG50" s="40"/>
      <c r="AH50" s="41"/>
    </row>
    <row r="51" spans="1:34" x14ac:dyDescent="0.25">
      <c r="A51" s="20">
        <v>1</v>
      </c>
      <c r="B51" s="42" t="s">
        <v>136</v>
      </c>
      <c r="C51" s="42" t="s">
        <v>23</v>
      </c>
      <c r="D51" s="13" t="s">
        <v>137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45">
        <f t="shared" ref="AC51:AC56" si="5">SUM(E51:AB51)</f>
        <v>0</v>
      </c>
      <c r="AD51" s="44">
        <v>30000</v>
      </c>
      <c r="AE51" s="44"/>
      <c r="AF51" s="46">
        <f>AC51+AD51+AE51</f>
        <v>30000</v>
      </c>
      <c r="AG51" s="47"/>
      <c r="AH51" s="18">
        <f>AF51-AG51</f>
        <v>30000</v>
      </c>
    </row>
    <row r="52" spans="1:34" x14ac:dyDescent="0.25">
      <c r="A52" s="20">
        <v>2</v>
      </c>
      <c r="B52" s="12" t="s">
        <v>138</v>
      </c>
      <c r="C52" s="42" t="s">
        <v>16</v>
      </c>
      <c r="D52" s="13" t="s">
        <v>139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45">
        <f t="shared" si="5"/>
        <v>0</v>
      </c>
      <c r="AD52" s="14">
        <v>20000</v>
      </c>
      <c r="AE52" s="44"/>
      <c r="AF52" s="46">
        <f t="shared" ref="AF52:AF56" si="6">AC52+AD52+AE52</f>
        <v>20000</v>
      </c>
      <c r="AG52" s="19"/>
      <c r="AH52" s="18">
        <f t="shared" ref="AH52:AH56" si="7">AF52-AG52</f>
        <v>20000</v>
      </c>
    </row>
    <row r="53" spans="1:34" x14ac:dyDescent="0.25">
      <c r="A53" s="20">
        <v>3</v>
      </c>
      <c r="B53" s="12" t="s">
        <v>140</v>
      </c>
      <c r="C53" s="48" t="s">
        <v>56</v>
      </c>
      <c r="D53" s="13" t="s">
        <v>141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45">
        <f t="shared" si="5"/>
        <v>0</v>
      </c>
      <c r="AD53" s="14">
        <v>23000</v>
      </c>
      <c r="AE53" s="44"/>
      <c r="AF53" s="46">
        <f t="shared" si="6"/>
        <v>23000</v>
      </c>
      <c r="AG53" s="19"/>
      <c r="AH53" s="18">
        <f t="shared" si="7"/>
        <v>23000</v>
      </c>
    </row>
    <row r="54" spans="1:34" x14ac:dyDescent="0.25">
      <c r="A54" s="20">
        <v>4</v>
      </c>
      <c r="B54" s="12" t="s">
        <v>142</v>
      </c>
      <c r="C54" s="12" t="s">
        <v>34</v>
      </c>
      <c r="D54" s="13" t="s">
        <v>143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45">
        <f t="shared" si="5"/>
        <v>0</v>
      </c>
      <c r="AD54" s="14">
        <v>0</v>
      </c>
      <c r="AE54" s="44"/>
      <c r="AF54" s="46">
        <f t="shared" si="6"/>
        <v>0</v>
      </c>
      <c r="AG54" s="19"/>
      <c r="AH54" s="18">
        <f t="shared" si="7"/>
        <v>0</v>
      </c>
    </row>
    <row r="55" spans="1:34" x14ac:dyDescent="0.25">
      <c r="A55" s="20">
        <v>5</v>
      </c>
      <c r="B55" s="23" t="s">
        <v>144</v>
      </c>
      <c r="C55" s="12" t="s">
        <v>16</v>
      </c>
      <c r="D55" s="49" t="s">
        <v>145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45">
        <f t="shared" si="5"/>
        <v>0</v>
      </c>
      <c r="AD55" s="50">
        <v>0</v>
      </c>
      <c r="AE55" s="14"/>
      <c r="AF55" s="46">
        <f>AC55+AD55+AE55</f>
        <v>0</v>
      </c>
      <c r="AG55" s="51"/>
      <c r="AH55" s="18">
        <f t="shared" si="7"/>
        <v>0</v>
      </c>
    </row>
    <row r="56" spans="1:34" x14ac:dyDescent="0.25">
      <c r="A56" s="52">
        <v>6</v>
      </c>
      <c r="B56" s="12" t="s">
        <v>178</v>
      </c>
      <c r="C56" s="12" t="s">
        <v>179</v>
      </c>
      <c r="D56" s="13" t="s">
        <v>180</v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45">
        <f t="shared" si="5"/>
        <v>0</v>
      </c>
      <c r="AD56" s="14">
        <v>15000</v>
      </c>
      <c r="AE56" s="44"/>
      <c r="AF56" s="46">
        <f t="shared" si="6"/>
        <v>15000</v>
      </c>
      <c r="AG56" s="27"/>
      <c r="AH56" s="18">
        <f t="shared" si="7"/>
        <v>15000</v>
      </c>
    </row>
    <row r="57" spans="1:34" x14ac:dyDescent="0.25">
      <c r="A57" s="35"/>
      <c r="B57" s="2"/>
      <c r="C57" s="2"/>
      <c r="D57" s="53" t="s">
        <v>146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54">
        <f>SUM(AC51:AC56)</f>
        <v>0</v>
      </c>
      <c r="AD57" s="18">
        <f>SUM(AD51:AD56)</f>
        <v>88000</v>
      </c>
      <c r="AE57" s="18"/>
      <c r="AF57" s="18">
        <f>SUM(AF51:AF56)</f>
        <v>88000</v>
      </c>
      <c r="AG57" s="55">
        <f>SUM(AG51:AG55)</f>
        <v>0</v>
      </c>
      <c r="AH57" s="18">
        <f>SUM(AH51:AH56)</f>
        <v>88000</v>
      </c>
    </row>
    <row r="58" spans="1:34" x14ac:dyDescent="0.25">
      <c r="A58" s="35" t="s">
        <v>147</v>
      </c>
      <c r="B58" s="52"/>
      <c r="C58" s="56"/>
      <c r="D58" s="57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60"/>
      <c r="AD58" s="58"/>
      <c r="AE58" s="58"/>
      <c r="AF58" s="61"/>
      <c r="AG58" s="62"/>
      <c r="AH58" s="41"/>
    </row>
    <row r="59" spans="1:34" x14ac:dyDescent="0.25">
      <c r="A59" s="20">
        <v>1</v>
      </c>
      <c r="B59" s="42" t="s">
        <v>148</v>
      </c>
      <c r="C59" s="42" t="s">
        <v>34</v>
      </c>
      <c r="D59" s="43" t="s">
        <v>149</v>
      </c>
      <c r="E59" s="26"/>
      <c r="F59" s="26"/>
      <c r="G59" s="26"/>
      <c r="H59" s="26"/>
      <c r="I59" s="26"/>
      <c r="J59" s="26"/>
      <c r="K59" s="26">
        <v>1000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45">
        <f>SUM(E59:AB59)</f>
        <v>1000</v>
      </c>
      <c r="AD59" s="44">
        <v>25000</v>
      </c>
      <c r="AE59" s="44">
        <v>1800</v>
      </c>
      <c r="AF59" s="46">
        <f>AC59+AD59+AE59</f>
        <v>27800</v>
      </c>
      <c r="AG59" s="47"/>
      <c r="AH59" s="18">
        <f>AF59-AG59</f>
        <v>27800</v>
      </c>
    </row>
    <row r="60" spans="1:34" x14ac:dyDescent="0.25">
      <c r="A60" s="20">
        <v>2</v>
      </c>
      <c r="B60" s="12" t="s">
        <v>150</v>
      </c>
      <c r="C60" s="12" t="s">
        <v>27</v>
      </c>
      <c r="D60" s="13" t="s">
        <v>151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45">
        <f>SUM(E60:AB60)</f>
        <v>0</v>
      </c>
      <c r="AD60" s="14">
        <v>30000</v>
      </c>
      <c r="AE60" s="44"/>
      <c r="AF60" s="46">
        <f t="shared" ref="AF60:AF62" si="8">AC60+AD60+AE60</f>
        <v>30000</v>
      </c>
      <c r="AG60" s="19"/>
      <c r="AH60" s="18">
        <f t="shared" ref="AH60:AH62" si="9">AF60-AG60</f>
        <v>30000</v>
      </c>
    </row>
    <row r="61" spans="1:34" x14ac:dyDescent="0.25">
      <c r="A61" s="20">
        <v>3</v>
      </c>
      <c r="B61" s="12" t="s">
        <v>152</v>
      </c>
      <c r="C61" s="12" t="s">
        <v>27</v>
      </c>
      <c r="D61" s="13" t="s">
        <v>153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45">
        <f>SUM(E61:AB61)</f>
        <v>0</v>
      </c>
      <c r="AD61" s="14">
        <v>25000</v>
      </c>
      <c r="AE61" s="44"/>
      <c r="AF61" s="46">
        <f t="shared" si="8"/>
        <v>25000</v>
      </c>
      <c r="AG61" s="19"/>
      <c r="AH61" s="18">
        <f t="shared" si="9"/>
        <v>25000</v>
      </c>
    </row>
    <row r="62" spans="1:34" x14ac:dyDescent="0.25">
      <c r="A62" s="52">
        <v>4</v>
      </c>
      <c r="B62" s="24" t="s">
        <v>154</v>
      </c>
      <c r="C62" s="12" t="s">
        <v>19</v>
      </c>
      <c r="D62" s="13" t="s">
        <v>155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45">
        <f>SUM(E62:AB62)</f>
        <v>0</v>
      </c>
      <c r="AD62" s="14">
        <v>20000</v>
      </c>
      <c r="AE62" s="44"/>
      <c r="AF62" s="46">
        <f t="shared" si="8"/>
        <v>20000</v>
      </c>
      <c r="AG62" s="19"/>
      <c r="AH62" s="18">
        <f t="shared" si="9"/>
        <v>20000</v>
      </c>
    </row>
    <row r="63" spans="1:34" x14ac:dyDescent="0.25">
      <c r="A63" s="35"/>
      <c r="B63" s="32"/>
      <c r="C63" s="63"/>
      <c r="D63" s="53" t="s">
        <v>156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54">
        <f t="shared" ref="AC63:AH63" si="10">SUM(AC59:AC62)</f>
        <v>1000</v>
      </c>
      <c r="AD63" s="8">
        <f t="shared" si="10"/>
        <v>100000</v>
      </c>
      <c r="AE63" s="8">
        <f t="shared" si="10"/>
        <v>1800</v>
      </c>
      <c r="AF63" s="8">
        <f t="shared" si="10"/>
        <v>102800</v>
      </c>
      <c r="AG63" s="34">
        <f t="shared" si="10"/>
        <v>0</v>
      </c>
      <c r="AH63" s="8">
        <f t="shared" si="10"/>
        <v>102800</v>
      </c>
    </row>
    <row r="64" spans="1:34" x14ac:dyDescent="0.25">
      <c r="A64" s="35" t="s">
        <v>157</v>
      </c>
      <c r="B64" s="52"/>
      <c r="C64" s="56"/>
      <c r="D64" s="57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60"/>
      <c r="AD64" s="58"/>
      <c r="AE64" s="58"/>
      <c r="AF64" s="61"/>
      <c r="AG64" s="62"/>
      <c r="AH64" s="41"/>
    </row>
    <row r="65" spans="1:34" x14ac:dyDescent="0.25">
      <c r="A65" s="20">
        <v>1</v>
      </c>
      <c r="B65" s="42" t="s">
        <v>158</v>
      </c>
      <c r="C65" s="42" t="s">
        <v>19</v>
      </c>
      <c r="D65" s="13">
        <v>1236977351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45"/>
      <c r="AD65" s="44">
        <v>40000</v>
      </c>
      <c r="AE65" s="44"/>
      <c r="AF65" s="46">
        <f>AD65+AC65+AE65</f>
        <v>40000</v>
      </c>
      <c r="AG65" s="47"/>
      <c r="AH65" s="18">
        <f>AF65-AG65</f>
        <v>40000</v>
      </c>
    </row>
    <row r="67" spans="1:34" x14ac:dyDescent="0.25">
      <c r="A67" s="2" t="s">
        <v>164</v>
      </c>
      <c r="B67" s="12"/>
      <c r="C67" s="12"/>
      <c r="D67" s="13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6">
        <f>SUM(E67:AB67)</f>
        <v>0</v>
      </c>
      <c r="AD67" s="14"/>
      <c r="AE67" s="14"/>
      <c r="AF67" s="8"/>
      <c r="AG67" s="19"/>
      <c r="AH67" s="18"/>
    </row>
    <row r="68" spans="1:34" x14ac:dyDescent="0.25">
      <c r="A68" s="20">
        <v>1</v>
      </c>
      <c r="B68" s="23" t="s">
        <v>165</v>
      </c>
      <c r="C68" s="12" t="s">
        <v>27</v>
      </c>
      <c r="D68" s="13" t="s">
        <v>166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6">
        <f>SUM(E68:AB68)</f>
        <v>0</v>
      </c>
      <c r="AD68" s="14">
        <v>40000</v>
      </c>
      <c r="AE68" s="14">
        <v>5000</v>
      </c>
      <c r="AF68" s="8">
        <f>AC68+AD68+AE68</f>
        <v>45000</v>
      </c>
      <c r="AG68" s="19"/>
      <c r="AH68" s="18">
        <f>AF68-AG68</f>
        <v>45000</v>
      </c>
    </row>
    <row r="69" spans="1:34" x14ac:dyDescent="0.25">
      <c r="A69" s="20">
        <v>2</v>
      </c>
      <c r="B69" s="12" t="s">
        <v>167</v>
      </c>
      <c r="C69" s="64" t="s">
        <v>168</v>
      </c>
      <c r="D69" s="13" t="s">
        <v>169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>
        <v>1000</v>
      </c>
      <c r="T69" s="15"/>
      <c r="U69" s="15">
        <v>1000</v>
      </c>
      <c r="V69" s="15"/>
      <c r="W69" s="15"/>
      <c r="X69" s="15"/>
      <c r="Y69" s="15"/>
      <c r="Z69" s="15"/>
      <c r="AA69" s="15"/>
      <c r="AB69" s="15"/>
      <c r="AC69" s="16">
        <f>SUM(E69:AB69)</f>
        <v>2000</v>
      </c>
      <c r="AD69" s="14">
        <v>35000</v>
      </c>
      <c r="AE69" s="14">
        <v>1800</v>
      </c>
      <c r="AF69" s="8">
        <f t="shared" ref="AF69:AF71" si="11">AC69+AD69+AE69</f>
        <v>38800</v>
      </c>
      <c r="AG69" s="19"/>
      <c r="AH69" s="18">
        <f t="shared" ref="AH69:AH71" si="12">AF69-AG69</f>
        <v>38800</v>
      </c>
    </row>
    <row r="70" spans="1:34" x14ac:dyDescent="0.25">
      <c r="A70" s="20">
        <v>3</v>
      </c>
      <c r="B70" s="12" t="s">
        <v>170</v>
      </c>
      <c r="C70" s="64" t="s">
        <v>27</v>
      </c>
      <c r="D70" s="13" t="s">
        <v>184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>
        <f>SUM(E70:AB70)</f>
        <v>0</v>
      </c>
      <c r="AD70" s="14">
        <v>14400</v>
      </c>
      <c r="AE70" s="14">
        <v>1200</v>
      </c>
      <c r="AF70" s="8">
        <f t="shared" si="11"/>
        <v>15600</v>
      </c>
      <c r="AG70" s="19"/>
      <c r="AH70" s="18">
        <f t="shared" si="12"/>
        <v>15600</v>
      </c>
    </row>
    <row r="71" spans="1:34" x14ac:dyDescent="0.25">
      <c r="A71" s="20">
        <v>4</v>
      </c>
      <c r="B71" s="12" t="s">
        <v>171</v>
      </c>
      <c r="C71" s="24" t="s">
        <v>27</v>
      </c>
      <c r="D71" s="13" t="s">
        <v>172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6">
        <f>SUM(E71:AB71)</f>
        <v>0</v>
      </c>
      <c r="AD71" s="14">
        <v>80000</v>
      </c>
      <c r="AE71" s="14">
        <v>5000</v>
      </c>
      <c r="AF71" s="8">
        <f t="shared" si="11"/>
        <v>85000</v>
      </c>
      <c r="AG71" s="19"/>
      <c r="AH71" s="18">
        <f t="shared" si="12"/>
        <v>85000</v>
      </c>
    </row>
    <row r="72" spans="1:34" x14ac:dyDescent="0.25">
      <c r="A72" s="2"/>
      <c r="B72" s="2"/>
      <c r="C72" s="65"/>
      <c r="D72" s="53" t="s">
        <v>173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90">
        <f>SUM(AC67:AC71)</f>
        <v>2000</v>
      </c>
      <c r="AD72" s="8">
        <f>SUM(AD68:AD71)</f>
        <v>169400</v>
      </c>
      <c r="AE72" s="8">
        <f>SUM(AE68:AE71)</f>
        <v>13000</v>
      </c>
      <c r="AF72" s="8">
        <f>SUM(AF68:AF71)</f>
        <v>184400</v>
      </c>
      <c r="AG72" s="34">
        <f>AG68+AG69</f>
        <v>0</v>
      </c>
      <c r="AH72" s="18">
        <f>SUM(AH68:AH71)</f>
        <v>184400</v>
      </c>
    </row>
    <row r="73" spans="1:34" x14ac:dyDescent="0.25">
      <c r="A73" s="2"/>
      <c r="B73" s="2"/>
      <c r="C73" s="65"/>
      <c r="D73" s="53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6">
        <f>SUM(E73:AB73)</f>
        <v>0</v>
      </c>
      <c r="AD73" s="8"/>
      <c r="AE73" s="8"/>
      <c r="AF73" s="8"/>
      <c r="AG73" s="34"/>
      <c r="AH73" s="18"/>
    </row>
    <row r="74" spans="1:34" ht="15.75" thickBot="1" x14ac:dyDescent="0.3">
      <c r="A74" s="66"/>
      <c r="B74" s="66"/>
      <c r="C74" s="66"/>
      <c r="D74" s="66" t="s">
        <v>174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9">
        <f>AC49+AC57+AC63+AC65+AC72</f>
        <v>85000</v>
      </c>
      <c r="AD74" s="69">
        <f>AD49+AD57+AD63+AD65+AD72</f>
        <v>1613600</v>
      </c>
      <c r="AE74" s="69">
        <f>SUM(AE49,AE63,AE72)</f>
        <v>112080</v>
      </c>
      <c r="AF74" s="69">
        <f>AF49+AF57+AF63+AF65+AF72</f>
        <v>1810680</v>
      </c>
      <c r="AG74" s="70">
        <f>AG49+AG58+AG63+AG65+AG72</f>
        <v>18500</v>
      </c>
      <c r="AH74" s="71">
        <f>AH49+AH57+AH63+AH65+AH72</f>
        <v>1792180</v>
      </c>
    </row>
    <row r="75" spans="1:34" ht="15.75" thickTop="1" x14ac:dyDescent="0.25">
      <c r="AH75" t="s">
        <v>201</v>
      </c>
    </row>
  </sheetData>
  <mergeCells count="4">
    <mergeCell ref="A1:AH1"/>
    <mergeCell ref="B2:AH2"/>
    <mergeCell ref="E3:AB3"/>
    <mergeCell ref="AH3:AH4"/>
  </mergeCells>
  <pageMargins left="0.25" right="0.25" top="0.75" bottom="0.75" header="0.3" footer="0.3"/>
  <pageSetup scale="6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27E8-7E7E-43FE-895D-909ADBE68450}">
  <sheetPr>
    <pageSetUpPr fitToPage="1"/>
  </sheetPr>
  <dimension ref="A1:AD78"/>
  <sheetViews>
    <sheetView topLeftCell="A40" zoomScale="85" zoomScaleNormal="85" workbookViewId="0">
      <selection activeCell="Y3" sqref="Y1:AA1048576"/>
    </sheetView>
  </sheetViews>
  <sheetFormatPr defaultColWidth="10" defaultRowHeight="15" x14ac:dyDescent="0.25"/>
  <cols>
    <col min="1" max="1" width="19.28515625" bestFit="1" customWidth="1"/>
    <col min="2" max="2" width="27.5703125" bestFit="1" customWidth="1"/>
    <col min="3" max="3" width="16.42578125" bestFit="1" customWidth="1"/>
    <col min="4" max="4" width="15.42578125" bestFit="1" customWidth="1"/>
    <col min="5" max="8" width="9.5703125" style="85" hidden="1" customWidth="1"/>
    <col min="9" max="24" width="9.7109375" style="85" hidden="1" customWidth="1"/>
    <col min="25" max="25" width="11.7109375" hidden="1" customWidth="1"/>
    <col min="26" max="26" width="14.85546875" hidden="1" customWidth="1"/>
    <col min="27" max="27" width="20.28515625" hidden="1" customWidth="1"/>
    <col min="28" max="28" width="13.28515625" bestFit="1" customWidth="1"/>
    <col min="29" max="29" width="14.140625" bestFit="1" customWidth="1"/>
    <col min="30" max="30" width="13.28515625" bestFit="1" customWidth="1"/>
  </cols>
  <sheetData>
    <row r="1" spans="1:30" x14ac:dyDescent="0.25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1"/>
    </row>
    <row r="2" spans="1:30" x14ac:dyDescent="0.25">
      <c r="A2" s="1">
        <v>46082</v>
      </c>
      <c r="B2" s="249" t="s">
        <v>1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1"/>
    </row>
    <row r="3" spans="1:30" x14ac:dyDescent="0.25">
      <c r="A3" s="2" t="s">
        <v>2</v>
      </c>
      <c r="B3" s="3"/>
      <c r="C3" s="4"/>
      <c r="D3" s="3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5"/>
      <c r="Z3" s="5"/>
      <c r="AA3" s="5"/>
      <c r="AB3" s="6"/>
      <c r="AC3" s="7" t="s">
        <v>3</v>
      </c>
      <c r="AD3" s="252" t="s">
        <v>4</v>
      </c>
    </row>
    <row r="4" spans="1:30" x14ac:dyDescent="0.25">
      <c r="A4" s="2" t="s">
        <v>5</v>
      </c>
      <c r="B4" s="2" t="s">
        <v>6</v>
      </c>
      <c r="C4" s="2" t="s">
        <v>7</v>
      </c>
      <c r="D4" s="2" t="s">
        <v>8</v>
      </c>
      <c r="E4" s="74">
        <v>46025</v>
      </c>
      <c r="F4" s="73">
        <v>46145</v>
      </c>
      <c r="G4" s="73">
        <v>46237</v>
      </c>
      <c r="H4" s="73">
        <v>46268</v>
      </c>
      <c r="I4" s="73">
        <v>46329</v>
      </c>
      <c r="J4" s="73">
        <v>46359</v>
      </c>
      <c r="K4" s="73" t="s">
        <v>230</v>
      </c>
      <c r="L4" s="73" t="s">
        <v>231</v>
      </c>
      <c r="M4" s="73" t="s">
        <v>233</v>
      </c>
      <c r="N4" s="73" t="s">
        <v>234</v>
      </c>
      <c r="O4" s="73" t="s">
        <v>235</v>
      </c>
      <c r="P4" s="73" t="s">
        <v>236</v>
      </c>
      <c r="Q4" s="73" t="s">
        <v>237</v>
      </c>
      <c r="R4" s="110" t="s">
        <v>238</v>
      </c>
      <c r="S4" s="2" t="s">
        <v>239</v>
      </c>
      <c r="T4" s="101" t="s">
        <v>240</v>
      </c>
      <c r="U4" s="2" t="s">
        <v>241</v>
      </c>
      <c r="V4" s="2" t="s">
        <v>242</v>
      </c>
      <c r="W4" s="2" t="s">
        <v>243</v>
      </c>
      <c r="X4" s="2" t="s">
        <v>244</v>
      </c>
      <c r="Y4" s="9" t="s">
        <v>9</v>
      </c>
      <c r="Z4" s="8" t="s">
        <v>10</v>
      </c>
      <c r="AA4" s="8" t="s">
        <v>11</v>
      </c>
      <c r="AB4" s="8" t="s">
        <v>12</v>
      </c>
      <c r="AC4" s="10" t="s">
        <v>13</v>
      </c>
      <c r="AD4" s="253"/>
    </row>
    <row r="5" spans="1:30" x14ac:dyDescent="0.25">
      <c r="A5" s="11" t="s">
        <v>14</v>
      </c>
      <c r="B5" s="12" t="s">
        <v>15</v>
      </c>
      <c r="C5" s="12" t="s">
        <v>16</v>
      </c>
      <c r="D5" s="13">
        <v>2050766384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>
        <v>1000</v>
      </c>
      <c r="P5" s="14"/>
      <c r="Q5" s="14"/>
      <c r="R5" s="14">
        <v>1000</v>
      </c>
      <c r="S5" s="14"/>
      <c r="T5" s="14">
        <v>1000</v>
      </c>
      <c r="U5" s="14">
        <v>1000</v>
      </c>
      <c r="V5" s="14">
        <v>1000</v>
      </c>
      <c r="W5" s="14"/>
      <c r="X5" s="14">
        <v>1000</v>
      </c>
      <c r="Y5" s="86">
        <f t="shared" ref="Y5:Y50" si="0">SUM(E5:X5)</f>
        <v>6000</v>
      </c>
      <c r="Z5" s="14">
        <v>28000</v>
      </c>
      <c r="AA5" s="14">
        <v>2550</v>
      </c>
      <c r="AB5" s="8">
        <f>Y5+Z5+AA5</f>
        <v>36550</v>
      </c>
      <c r="AC5" s="17">
        <v>2000</v>
      </c>
      <c r="AD5" s="18">
        <f>AB5-AC5</f>
        <v>34550</v>
      </c>
    </row>
    <row r="6" spans="1:30" s="181" customFormat="1" x14ac:dyDescent="0.25">
      <c r="A6" s="133" t="s">
        <v>17</v>
      </c>
      <c r="B6" s="20" t="s">
        <v>18</v>
      </c>
      <c r="C6" s="20" t="s">
        <v>19</v>
      </c>
      <c r="D6" s="178" t="s">
        <v>20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79">
        <f t="shared" si="0"/>
        <v>0</v>
      </c>
      <c r="Z6" s="131">
        <v>25000</v>
      </c>
      <c r="AA6" s="131">
        <v>9200</v>
      </c>
      <c r="AB6" s="131">
        <f t="shared" ref="AB6:AB50" si="1">Y6+Z6+AA6</f>
        <v>34200</v>
      </c>
      <c r="AC6" s="17"/>
      <c r="AD6" s="180">
        <f>AB6-AC6</f>
        <v>34200</v>
      </c>
    </row>
    <row r="7" spans="1:30" x14ac:dyDescent="0.25">
      <c r="A7" s="135" t="s">
        <v>21</v>
      </c>
      <c r="B7" s="42" t="s">
        <v>22</v>
      </c>
      <c r="C7" s="42" t="s">
        <v>23</v>
      </c>
      <c r="D7" s="43" t="s">
        <v>24</v>
      </c>
      <c r="E7" s="44">
        <v>1000</v>
      </c>
      <c r="F7" s="44"/>
      <c r="G7" s="44"/>
      <c r="H7" s="44">
        <v>1000</v>
      </c>
      <c r="I7" s="44"/>
      <c r="J7" s="44"/>
      <c r="K7" s="44"/>
      <c r="L7" s="44"/>
      <c r="M7" s="44">
        <v>1000</v>
      </c>
      <c r="N7" s="44"/>
      <c r="O7" s="44"/>
      <c r="P7" s="44"/>
      <c r="Q7" s="44"/>
      <c r="R7" s="44">
        <v>1000</v>
      </c>
      <c r="S7" s="44"/>
      <c r="T7" s="44"/>
      <c r="U7" s="44">
        <v>1000</v>
      </c>
      <c r="V7" s="44">
        <v>1000</v>
      </c>
      <c r="W7" s="44"/>
      <c r="X7" s="44">
        <v>1000</v>
      </c>
      <c r="Y7" s="136">
        <f t="shared" si="0"/>
        <v>7000</v>
      </c>
      <c r="Z7" s="44">
        <v>20000</v>
      </c>
      <c r="AA7" s="44">
        <v>3600</v>
      </c>
      <c r="AB7" s="46">
        <f t="shared" si="1"/>
        <v>30600</v>
      </c>
      <c r="AC7" s="47"/>
      <c r="AD7" s="137">
        <f>AB7-AC7</f>
        <v>30600</v>
      </c>
    </row>
    <row r="8" spans="1:30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14"/>
      <c r="F8" s="14"/>
      <c r="G8" s="14"/>
      <c r="H8" s="14"/>
      <c r="I8" s="14"/>
      <c r="J8" s="14"/>
      <c r="K8" s="14"/>
      <c r="L8" s="14"/>
      <c r="M8" s="14"/>
      <c r="N8" s="14">
        <v>500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86">
        <f t="shared" si="0"/>
        <v>500</v>
      </c>
      <c r="Z8" s="14">
        <v>9000</v>
      </c>
      <c r="AA8" s="14"/>
      <c r="AB8" s="8">
        <f t="shared" si="1"/>
        <v>9500</v>
      </c>
      <c r="AC8" s="19"/>
      <c r="AD8" s="18">
        <f t="shared" ref="AD8:AD43" si="2">AB8-AC8</f>
        <v>9500</v>
      </c>
    </row>
    <row r="9" spans="1:30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14"/>
      <c r="F9" s="14"/>
      <c r="G9" s="14"/>
      <c r="H9" s="14"/>
      <c r="I9" s="14"/>
      <c r="J9" s="14">
        <v>1000</v>
      </c>
      <c r="K9" s="14"/>
      <c r="L9" s="14"/>
      <c r="M9" s="14"/>
      <c r="N9" s="14">
        <v>1000</v>
      </c>
      <c r="O9" s="14"/>
      <c r="P9" s="14"/>
      <c r="Q9" s="14">
        <v>1000</v>
      </c>
      <c r="R9" s="14"/>
      <c r="S9" s="14"/>
      <c r="T9" s="14">
        <v>500</v>
      </c>
      <c r="U9" s="14"/>
      <c r="V9" s="14"/>
      <c r="W9" s="14"/>
      <c r="X9" s="14">
        <v>1000</v>
      </c>
      <c r="Y9" s="86">
        <f t="shared" si="0"/>
        <v>4500</v>
      </c>
      <c r="Z9" s="14">
        <v>30000</v>
      </c>
      <c r="AA9" s="14">
        <f>57500+35550</f>
        <v>93050</v>
      </c>
      <c r="AB9" s="8">
        <f t="shared" si="1"/>
        <v>127550</v>
      </c>
      <c r="AC9" s="19"/>
      <c r="AD9" s="18">
        <f>AB9-AC9</f>
        <v>127550</v>
      </c>
    </row>
    <row r="10" spans="1:30" x14ac:dyDescent="0.25">
      <c r="A10" s="11" t="s">
        <v>32</v>
      </c>
      <c r="B10" s="20" t="s">
        <v>33</v>
      </c>
      <c r="C10" s="12" t="s">
        <v>34</v>
      </c>
      <c r="D10" s="13" t="s">
        <v>35</v>
      </c>
      <c r="E10" s="14"/>
      <c r="F10" s="14"/>
      <c r="G10" s="14"/>
      <c r="H10" s="14"/>
      <c r="I10" s="14"/>
      <c r="J10" s="14">
        <v>1000</v>
      </c>
      <c r="K10" s="14"/>
      <c r="L10" s="14"/>
      <c r="M10" s="14"/>
      <c r="N10" s="14"/>
      <c r="O10" s="14"/>
      <c r="P10" s="14"/>
      <c r="Q10" s="14">
        <v>1000</v>
      </c>
      <c r="R10" s="14"/>
      <c r="S10" s="14"/>
      <c r="T10" s="14"/>
      <c r="U10" s="14"/>
      <c r="V10" s="14"/>
      <c r="W10" s="14"/>
      <c r="X10" s="14">
        <v>1000</v>
      </c>
      <c r="Y10" s="86">
        <f t="shared" si="0"/>
        <v>3000</v>
      </c>
      <c r="Z10" s="14">
        <v>20000</v>
      </c>
      <c r="AA10" s="14">
        <v>4200</v>
      </c>
      <c r="AB10" s="8">
        <f t="shared" si="1"/>
        <v>27200</v>
      </c>
      <c r="AC10" s="19"/>
      <c r="AD10" s="18">
        <f>AB10-AC10</f>
        <v>27200</v>
      </c>
    </row>
    <row r="11" spans="1:30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14"/>
      <c r="F11" s="14"/>
      <c r="G11" s="14"/>
      <c r="H11" s="14">
        <v>1000</v>
      </c>
      <c r="I11" s="14">
        <v>1000</v>
      </c>
      <c r="J11" s="14">
        <v>1000</v>
      </c>
      <c r="K11" s="14"/>
      <c r="L11" s="14"/>
      <c r="M11" s="14"/>
      <c r="N11" s="14"/>
      <c r="O11" s="14">
        <v>1000</v>
      </c>
      <c r="P11" s="14"/>
      <c r="Q11" s="14"/>
      <c r="R11" s="14"/>
      <c r="S11" s="14"/>
      <c r="T11" s="14">
        <v>1000</v>
      </c>
      <c r="U11" s="14">
        <v>1000</v>
      </c>
      <c r="V11" s="14"/>
      <c r="W11" s="14"/>
      <c r="X11" s="14">
        <v>1000</v>
      </c>
      <c r="Y11" s="86">
        <f t="shared" si="0"/>
        <v>7000</v>
      </c>
      <c r="Z11" s="14">
        <v>50000</v>
      </c>
      <c r="AA11" s="14">
        <v>3700</v>
      </c>
      <c r="AB11" s="8">
        <f t="shared" si="1"/>
        <v>60700</v>
      </c>
      <c r="AC11" s="19"/>
      <c r="AD11" s="18">
        <f t="shared" si="2"/>
        <v>60700</v>
      </c>
    </row>
    <row r="12" spans="1:30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86">
        <f t="shared" si="0"/>
        <v>0</v>
      </c>
      <c r="Z12" s="14">
        <v>7200</v>
      </c>
      <c r="AA12" s="14">
        <v>1550</v>
      </c>
      <c r="AB12" s="8">
        <f t="shared" si="1"/>
        <v>8750</v>
      </c>
      <c r="AC12" s="19"/>
      <c r="AD12" s="18">
        <f t="shared" si="2"/>
        <v>8750</v>
      </c>
    </row>
    <row r="13" spans="1:30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14"/>
      <c r="F13" s="14"/>
      <c r="G13" s="14"/>
      <c r="H13" s="14">
        <v>500</v>
      </c>
      <c r="I13" s="14"/>
      <c r="J13" s="14"/>
      <c r="K13" s="14">
        <v>500</v>
      </c>
      <c r="L13" s="14"/>
      <c r="M13" s="14">
        <v>1000</v>
      </c>
      <c r="N13" s="14">
        <v>500</v>
      </c>
      <c r="O13" s="14"/>
      <c r="P13" s="14"/>
      <c r="Q13" s="14">
        <v>1000</v>
      </c>
      <c r="R13" s="14"/>
      <c r="S13" s="14">
        <v>1000</v>
      </c>
      <c r="T13" s="14"/>
      <c r="U13" s="14"/>
      <c r="V13" s="14"/>
      <c r="W13" s="14">
        <v>1000</v>
      </c>
      <c r="X13" s="14"/>
      <c r="Y13" s="86">
        <f t="shared" si="0"/>
        <v>5500</v>
      </c>
      <c r="Z13" s="14">
        <v>30000</v>
      </c>
      <c r="AA13" s="14">
        <v>3500</v>
      </c>
      <c r="AB13" s="8">
        <f t="shared" si="1"/>
        <v>39000</v>
      </c>
      <c r="AC13" s="19"/>
      <c r="AD13" s="18">
        <f t="shared" si="2"/>
        <v>39000</v>
      </c>
    </row>
    <row r="14" spans="1:30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14"/>
      <c r="F14" s="14"/>
      <c r="G14" s="14"/>
      <c r="H14" s="14">
        <v>1000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1000</v>
      </c>
      <c r="Y14" s="86">
        <f t="shared" si="0"/>
        <v>2000</v>
      </c>
      <c r="Z14" s="14">
        <v>60000</v>
      </c>
      <c r="AA14" s="14">
        <v>4600</v>
      </c>
      <c r="AB14" s="8">
        <f t="shared" si="1"/>
        <v>66600</v>
      </c>
      <c r="AC14" s="19"/>
      <c r="AD14" s="18">
        <f t="shared" si="2"/>
        <v>66600</v>
      </c>
    </row>
    <row r="15" spans="1:30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>
        <v>1000</v>
      </c>
      <c r="W15" s="14"/>
      <c r="X15" s="14">
        <v>1000</v>
      </c>
      <c r="Y15" s="86">
        <f t="shared" si="0"/>
        <v>2000</v>
      </c>
      <c r="Z15" s="14">
        <v>20000</v>
      </c>
      <c r="AA15" s="14">
        <v>3600</v>
      </c>
      <c r="AB15" s="8">
        <f t="shared" si="1"/>
        <v>25600</v>
      </c>
      <c r="AC15" s="19"/>
      <c r="AD15" s="18">
        <f t="shared" si="2"/>
        <v>25600</v>
      </c>
    </row>
    <row r="16" spans="1:30" x14ac:dyDescent="0.25">
      <c r="A16" s="11" t="s">
        <v>51</v>
      </c>
      <c r="B16" s="12" t="s">
        <v>52</v>
      </c>
      <c r="C16" s="12" t="s">
        <v>34</v>
      </c>
      <c r="D16" s="13" t="s">
        <v>53</v>
      </c>
      <c r="E16" s="14"/>
      <c r="F16" s="14"/>
      <c r="G16" s="14"/>
      <c r="H16" s="14">
        <v>1000</v>
      </c>
      <c r="I16" s="14"/>
      <c r="J16" s="14"/>
      <c r="K16" s="14"/>
      <c r="L16" s="14"/>
      <c r="M16" s="14"/>
      <c r="N16" s="14"/>
      <c r="O16" s="14">
        <v>1000</v>
      </c>
      <c r="P16" s="14"/>
      <c r="Q16" s="14"/>
      <c r="R16" s="14"/>
      <c r="S16" s="14"/>
      <c r="T16" s="14">
        <v>1000</v>
      </c>
      <c r="U16" s="14"/>
      <c r="V16" s="14"/>
      <c r="W16" s="14"/>
      <c r="X16" s="14">
        <v>1000</v>
      </c>
      <c r="Y16" s="86">
        <f t="shared" si="0"/>
        <v>4000</v>
      </c>
      <c r="Z16" s="14">
        <v>20000</v>
      </c>
      <c r="AA16" s="14">
        <v>2200</v>
      </c>
      <c r="AB16" s="8">
        <f t="shared" si="1"/>
        <v>26200</v>
      </c>
      <c r="AC16" s="19"/>
      <c r="AD16" s="18">
        <f t="shared" si="2"/>
        <v>26200</v>
      </c>
    </row>
    <row r="17" spans="1:30" x14ac:dyDescent="0.25">
      <c r="A17" s="11" t="s">
        <v>54</v>
      </c>
      <c r="B17" s="12" t="s">
        <v>199</v>
      </c>
      <c r="C17" s="64" t="s">
        <v>19</v>
      </c>
      <c r="D17" s="13" t="s">
        <v>200</v>
      </c>
      <c r="E17" s="14"/>
      <c r="F17" s="14"/>
      <c r="G17" s="14"/>
      <c r="H17" s="14"/>
      <c r="I17" s="14"/>
      <c r="J17" s="14"/>
      <c r="K17" s="14">
        <v>1000</v>
      </c>
      <c r="L17" s="14"/>
      <c r="M17" s="14"/>
      <c r="N17" s="14"/>
      <c r="O17" s="14"/>
      <c r="P17" s="14"/>
      <c r="Q17" s="14">
        <v>1000</v>
      </c>
      <c r="R17" s="14"/>
      <c r="S17" s="14"/>
      <c r="T17" s="14"/>
      <c r="U17" s="14"/>
      <c r="V17" s="14"/>
      <c r="W17" s="14"/>
      <c r="X17" s="14">
        <v>1000</v>
      </c>
      <c r="Y17" s="86">
        <f t="shared" si="0"/>
        <v>3000</v>
      </c>
      <c r="Z17" s="14">
        <v>18000</v>
      </c>
      <c r="AA17" s="14">
        <v>4500</v>
      </c>
      <c r="AB17" s="8">
        <f t="shared" si="1"/>
        <v>25500</v>
      </c>
      <c r="AC17" s="19"/>
      <c r="AD17" s="18">
        <f t="shared" si="2"/>
        <v>25500</v>
      </c>
    </row>
    <row r="18" spans="1:30" x14ac:dyDescent="0.25">
      <c r="A18" s="11" t="s">
        <v>58</v>
      </c>
      <c r="B18" s="12" t="s">
        <v>59</v>
      </c>
      <c r="C18" s="22" t="s">
        <v>34</v>
      </c>
      <c r="D18" s="13" t="s">
        <v>60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>
        <v>1000</v>
      </c>
      <c r="R18" s="14"/>
      <c r="S18" s="14"/>
      <c r="T18" s="14"/>
      <c r="U18" s="14"/>
      <c r="V18" s="14"/>
      <c r="W18" s="14"/>
      <c r="X18" s="14"/>
      <c r="Y18" s="86">
        <f t="shared" si="0"/>
        <v>1000</v>
      </c>
      <c r="Z18" s="14">
        <v>35000</v>
      </c>
      <c r="AA18" s="14">
        <v>1000</v>
      </c>
      <c r="AB18" s="8">
        <f t="shared" si="1"/>
        <v>37000</v>
      </c>
      <c r="AC18" s="19"/>
      <c r="AD18" s="18">
        <f t="shared" si="2"/>
        <v>37000</v>
      </c>
    </row>
    <row r="19" spans="1:30" x14ac:dyDescent="0.25">
      <c r="A19" s="11" t="s">
        <v>61</v>
      </c>
      <c r="B19" s="12" t="s">
        <v>62</v>
      </c>
      <c r="C19" s="13" t="s">
        <v>19</v>
      </c>
      <c r="D19" s="13" t="s">
        <v>63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>
        <v>1000</v>
      </c>
      <c r="R19" s="14"/>
      <c r="S19" s="14"/>
      <c r="T19" s="14"/>
      <c r="U19" s="14"/>
      <c r="V19" s="14"/>
      <c r="W19" s="14"/>
      <c r="X19" s="14"/>
      <c r="Y19" s="86">
        <f t="shared" si="0"/>
        <v>1000</v>
      </c>
      <c r="Z19" s="14">
        <v>20000</v>
      </c>
      <c r="AA19" s="14">
        <v>4750</v>
      </c>
      <c r="AB19" s="8">
        <f t="shared" si="1"/>
        <v>25750</v>
      </c>
      <c r="AC19" s="19"/>
      <c r="AD19" s="18">
        <f t="shared" si="2"/>
        <v>25750</v>
      </c>
    </row>
    <row r="20" spans="1:30" x14ac:dyDescent="0.25">
      <c r="A20" s="11" t="s">
        <v>64</v>
      </c>
      <c r="B20" s="12" t="s">
        <v>65</v>
      </c>
      <c r="C20" s="22" t="s">
        <v>19</v>
      </c>
      <c r="D20" s="13" t="s">
        <v>66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>
        <v>1000</v>
      </c>
      <c r="R20" s="14"/>
      <c r="S20" s="14"/>
      <c r="T20" s="14"/>
      <c r="U20" s="14"/>
      <c r="V20" s="14"/>
      <c r="W20" s="14"/>
      <c r="X20" s="14"/>
      <c r="Y20" s="86">
        <f t="shared" si="0"/>
        <v>1000</v>
      </c>
      <c r="Z20" s="14">
        <v>20000</v>
      </c>
      <c r="AA20" s="14">
        <v>3000</v>
      </c>
      <c r="AB20" s="8">
        <f t="shared" si="1"/>
        <v>24000</v>
      </c>
      <c r="AC20" s="19"/>
      <c r="AD20" s="18">
        <f t="shared" si="2"/>
        <v>24000</v>
      </c>
    </row>
    <row r="21" spans="1:30" x14ac:dyDescent="0.25">
      <c r="A21" s="11" t="s">
        <v>67</v>
      </c>
      <c r="B21" s="12" t="s">
        <v>68</v>
      </c>
      <c r="C21" s="22" t="s">
        <v>34</v>
      </c>
      <c r="D21" s="13" t="s">
        <v>69</v>
      </c>
      <c r="E21" s="14"/>
      <c r="F21" s="14"/>
      <c r="G21" s="14"/>
      <c r="H21" s="14"/>
      <c r="I21" s="14"/>
      <c r="J21" s="14">
        <v>1000</v>
      </c>
      <c r="K21" s="14"/>
      <c r="L21" s="14"/>
      <c r="M21" s="14"/>
      <c r="N21" s="14"/>
      <c r="O21" s="14"/>
      <c r="P21" s="14"/>
      <c r="Q21" s="14">
        <v>1000</v>
      </c>
      <c r="R21" s="14"/>
      <c r="S21" s="14"/>
      <c r="T21" s="14"/>
      <c r="U21" s="14"/>
      <c r="V21" s="14"/>
      <c r="W21" s="14"/>
      <c r="X21" s="14"/>
      <c r="Y21" s="86">
        <f t="shared" si="0"/>
        <v>2000</v>
      </c>
      <c r="Z21" s="14">
        <v>20000</v>
      </c>
      <c r="AA21" s="14">
        <v>4500</v>
      </c>
      <c r="AB21" s="8">
        <f t="shared" si="1"/>
        <v>26500</v>
      </c>
      <c r="AC21" s="19"/>
      <c r="AD21" s="18">
        <f t="shared" si="2"/>
        <v>26500</v>
      </c>
    </row>
    <row r="22" spans="1:30" x14ac:dyDescent="0.25">
      <c r="A22" s="11" t="s">
        <v>70</v>
      </c>
      <c r="B22" s="20" t="s">
        <v>71</v>
      </c>
      <c r="C22" s="22" t="s">
        <v>34</v>
      </c>
      <c r="D22" s="13" t="s">
        <v>72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>
        <v>1000</v>
      </c>
      <c r="R22" s="14"/>
      <c r="S22" s="14"/>
      <c r="T22" s="14"/>
      <c r="U22" s="14"/>
      <c r="V22" s="14"/>
      <c r="W22" s="14"/>
      <c r="X22" s="14"/>
      <c r="Y22" s="86">
        <f t="shared" si="0"/>
        <v>1000</v>
      </c>
      <c r="Z22" s="14">
        <v>29000</v>
      </c>
      <c r="AA22" s="14">
        <v>4500</v>
      </c>
      <c r="AB22" s="8">
        <f t="shared" si="1"/>
        <v>34500</v>
      </c>
      <c r="AC22" s="19"/>
      <c r="AD22" s="18">
        <f t="shared" si="2"/>
        <v>34500</v>
      </c>
    </row>
    <row r="23" spans="1:30" x14ac:dyDescent="0.25">
      <c r="A23" s="11" t="s">
        <v>73</v>
      </c>
      <c r="B23" s="12" t="s">
        <v>74</v>
      </c>
      <c r="C23" s="22" t="s">
        <v>19</v>
      </c>
      <c r="D23" s="13" t="s">
        <v>75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86">
        <f t="shared" si="0"/>
        <v>0</v>
      </c>
      <c r="Z23" s="14">
        <v>10000</v>
      </c>
      <c r="AA23" s="14"/>
      <c r="AB23" s="8">
        <f t="shared" si="1"/>
        <v>10000</v>
      </c>
      <c r="AC23" s="19"/>
      <c r="AD23" s="18">
        <f t="shared" si="2"/>
        <v>10000</v>
      </c>
    </row>
    <row r="24" spans="1:30" x14ac:dyDescent="0.25">
      <c r="A24" s="11" t="s">
        <v>76</v>
      </c>
      <c r="B24" s="12" t="s">
        <v>77</v>
      </c>
      <c r="C24" s="22" t="s">
        <v>78</v>
      </c>
      <c r="D24" s="13" t="s">
        <v>79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>
        <v>1000</v>
      </c>
      <c r="R24" s="14"/>
      <c r="S24" s="14"/>
      <c r="T24" s="14"/>
      <c r="U24" s="14"/>
      <c r="V24" s="14"/>
      <c r="W24" s="14"/>
      <c r="X24" s="14"/>
      <c r="Y24" s="86">
        <f t="shared" si="0"/>
        <v>1000</v>
      </c>
      <c r="Z24" s="14">
        <v>50000</v>
      </c>
      <c r="AA24" s="14">
        <v>13000</v>
      </c>
      <c r="AB24" s="8">
        <f t="shared" si="1"/>
        <v>64000</v>
      </c>
      <c r="AC24" s="19"/>
      <c r="AD24" s="18">
        <f t="shared" si="2"/>
        <v>64000</v>
      </c>
    </row>
    <row r="25" spans="1:30" x14ac:dyDescent="0.25">
      <c r="A25" s="11" t="s">
        <v>80</v>
      </c>
      <c r="B25" s="20" t="s">
        <v>81</v>
      </c>
      <c r="C25" s="22" t="s">
        <v>27</v>
      </c>
      <c r="D25" s="13" t="s">
        <v>82</v>
      </c>
      <c r="E25" s="14"/>
      <c r="F25" s="14"/>
      <c r="G25" s="14"/>
      <c r="H25" s="14">
        <v>1000</v>
      </c>
      <c r="I25" s="14"/>
      <c r="J25" s="14"/>
      <c r="K25" s="14"/>
      <c r="L25" s="14"/>
      <c r="M25" s="14"/>
      <c r="N25" s="14"/>
      <c r="O25" s="14">
        <v>1000</v>
      </c>
      <c r="P25" s="14"/>
      <c r="Q25" s="14"/>
      <c r="R25" s="14"/>
      <c r="S25" s="14"/>
      <c r="T25" s="14">
        <v>1000</v>
      </c>
      <c r="U25" s="14">
        <v>1000</v>
      </c>
      <c r="V25" s="14">
        <v>1000</v>
      </c>
      <c r="W25" s="14"/>
      <c r="X25" s="14">
        <v>1000</v>
      </c>
      <c r="Y25" s="86">
        <f t="shared" si="0"/>
        <v>6000</v>
      </c>
      <c r="Z25" s="14">
        <v>20000</v>
      </c>
      <c r="AA25" s="14">
        <v>2400</v>
      </c>
      <c r="AB25" s="8">
        <f t="shared" si="1"/>
        <v>28400</v>
      </c>
      <c r="AC25" s="19"/>
      <c r="AD25" s="18">
        <f t="shared" si="2"/>
        <v>28400</v>
      </c>
    </row>
    <row r="26" spans="1:30" x14ac:dyDescent="0.25">
      <c r="A26" s="11" t="s">
        <v>83</v>
      </c>
      <c r="B26" s="20" t="s">
        <v>84</v>
      </c>
      <c r="C26" s="22" t="s">
        <v>34</v>
      </c>
      <c r="D26" s="13" t="s">
        <v>85</v>
      </c>
      <c r="E26" s="14"/>
      <c r="F26" s="14"/>
      <c r="G26" s="14"/>
      <c r="H26" s="14">
        <v>1000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>
        <v>1000</v>
      </c>
      <c r="W26" s="14"/>
      <c r="X26" s="14">
        <v>1000</v>
      </c>
      <c r="Y26" s="86">
        <f t="shared" si="0"/>
        <v>3000</v>
      </c>
      <c r="Z26" s="14">
        <v>20000</v>
      </c>
      <c r="AA26" s="14">
        <v>2100</v>
      </c>
      <c r="AB26" s="8">
        <f t="shared" si="1"/>
        <v>25100</v>
      </c>
      <c r="AC26" s="19"/>
      <c r="AD26" s="18">
        <f t="shared" si="2"/>
        <v>25100</v>
      </c>
    </row>
    <row r="27" spans="1:30" x14ac:dyDescent="0.25">
      <c r="A27" s="11" t="s">
        <v>86</v>
      </c>
      <c r="B27" s="12" t="s">
        <v>87</v>
      </c>
      <c r="C27" s="22" t="s">
        <v>34</v>
      </c>
      <c r="D27" s="13" t="s">
        <v>88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>
        <v>500</v>
      </c>
      <c r="R27" s="14"/>
      <c r="S27" s="14"/>
      <c r="T27" s="14"/>
      <c r="U27" s="14"/>
      <c r="V27" s="14"/>
      <c r="W27" s="14"/>
      <c r="X27" s="14"/>
      <c r="Y27" s="86">
        <f t="shared" si="0"/>
        <v>500</v>
      </c>
      <c r="Z27" s="14">
        <v>9000</v>
      </c>
      <c r="AA27" s="14"/>
      <c r="AB27" s="8">
        <f t="shared" si="1"/>
        <v>9500</v>
      </c>
      <c r="AC27" s="19"/>
      <c r="AD27" s="18">
        <f t="shared" si="2"/>
        <v>9500</v>
      </c>
    </row>
    <row r="28" spans="1:30" x14ac:dyDescent="0.25">
      <c r="A28" s="11" t="s">
        <v>89</v>
      </c>
      <c r="B28" s="23" t="s">
        <v>90</v>
      </c>
      <c r="C28" s="24" t="s">
        <v>56</v>
      </c>
      <c r="D28" s="13" t="s">
        <v>91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86">
        <f t="shared" si="0"/>
        <v>0</v>
      </c>
      <c r="Z28" s="14">
        <v>7000</v>
      </c>
      <c r="AA28" s="14"/>
      <c r="AB28" s="8">
        <f t="shared" si="1"/>
        <v>7000</v>
      </c>
      <c r="AC28" s="19"/>
      <c r="AD28" s="18">
        <f t="shared" si="2"/>
        <v>7000</v>
      </c>
    </row>
    <row r="29" spans="1:30" x14ac:dyDescent="0.25">
      <c r="A29" s="11" t="s">
        <v>92</v>
      </c>
      <c r="B29" s="23" t="s">
        <v>93</v>
      </c>
      <c r="C29" s="24" t="s">
        <v>19</v>
      </c>
      <c r="D29" s="13" t="s">
        <v>94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>
        <v>1000</v>
      </c>
      <c r="R29" s="14"/>
      <c r="S29" s="14"/>
      <c r="T29" s="14"/>
      <c r="U29" s="14"/>
      <c r="V29" s="14"/>
      <c r="W29" s="14"/>
      <c r="X29" s="14"/>
      <c r="Y29" s="86">
        <f t="shared" si="0"/>
        <v>1000</v>
      </c>
      <c r="Z29" s="14">
        <v>20000</v>
      </c>
      <c r="AA29" s="14">
        <v>4500</v>
      </c>
      <c r="AB29" s="8">
        <f t="shared" si="1"/>
        <v>25500</v>
      </c>
      <c r="AC29" s="19"/>
      <c r="AD29" s="18">
        <f t="shared" si="2"/>
        <v>25500</v>
      </c>
    </row>
    <row r="30" spans="1:30" s="181" customFormat="1" x14ac:dyDescent="0.25">
      <c r="A30" s="133" t="s">
        <v>95</v>
      </c>
      <c r="B30" s="20" t="s">
        <v>96</v>
      </c>
      <c r="C30" s="182" t="s">
        <v>16</v>
      </c>
      <c r="D30" s="178" t="s">
        <v>97</v>
      </c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79">
        <f t="shared" si="0"/>
        <v>0</v>
      </c>
      <c r="Z30" s="131">
        <v>12000</v>
      </c>
      <c r="AA30" s="131"/>
      <c r="AB30" s="131">
        <f t="shared" si="1"/>
        <v>12000</v>
      </c>
      <c r="AC30" s="17"/>
      <c r="AD30" s="180">
        <f t="shared" si="2"/>
        <v>12000</v>
      </c>
    </row>
    <row r="31" spans="1:30" x14ac:dyDescent="0.25">
      <c r="A31" s="135" t="s">
        <v>98</v>
      </c>
      <c r="B31" s="138" t="s">
        <v>99</v>
      </c>
      <c r="C31" s="139" t="s">
        <v>19</v>
      </c>
      <c r="D31" s="43" t="s">
        <v>100</v>
      </c>
      <c r="E31" s="44"/>
      <c r="F31" s="44"/>
      <c r="G31" s="44"/>
      <c r="H31" s="44"/>
      <c r="I31" s="44"/>
      <c r="J31" s="44"/>
      <c r="K31" s="44">
        <v>1000</v>
      </c>
      <c r="L31" s="44"/>
      <c r="M31" s="44"/>
      <c r="N31" s="44">
        <v>500</v>
      </c>
      <c r="O31" s="44"/>
      <c r="P31" s="44"/>
      <c r="Q31" s="44">
        <v>1000</v>
      </c>
      <c r="R31" s="44"/>
      <c r="S31" s="44"/>
      <c r="T31" s="44"/>
      <c r="U31" s="44"/>
      <c r="V31" s="44"/>
      <c r="W31" s="44"/>
      <c r="X31" s="44">
        <v>1000</v>
      </c>
      <c r="Y31" s="136">
        <f t="shared" si="0"/>
        <v>3500</v>
      </c>
      <c r="Z31" s="44">
        <v>18000</v>
      </c>
      <c r="AA31" s="44">
        <v>4500</v>
      </c>
      <c r="AB31" s="46">
        <f t="shared" si="1"/>
        <v>26000</v>
      </c>
      <c r="AC31" s="47"/>
      <c r="AD31" s="137">
        <f t="shared" si="2"/>
        <v>26000</v>
      </c>
    </row>
    <row r="32" spans="1:30" s="181" customFormat="1" x14ac:dyDescent="0.25">
      <c r="A32" s="133" t="s">
        <v>101</v>
      </c>
      <c r="B32" s="20" t="s">
        <v>232</v>
      </c>
      <c r="C32" s="20" t="s">
        <v>34</v>
      </c>
      <c r="D32" s="178" t="s">
        <v>103</v>
      </c>
      <c r="E32" s="131">
        <v>1000</v>
      </c>
      <c r="F32" s="131">
        <v>500</v>
      </c>
      <c r="G32" s="131">
        <v>1000</v>
      </c>
      <c r="H32" s="131">
        <v>500</v>
      </c>
      <c r="I32" s="131">
        <v>500</v>
      </c>
      <c r="J32" s="131">
        <v>500</v>
      </c>
      <c r="K32" s="131">
        <v>500</v>
      </c>
      <c r="L32" s="131">
        <v>500</v>
      </c>
      <c r="M32" s="131">
        <v>1000</v>
      </c>
      <c r="N32" s="131"/>
      <c r="O32" s="131">
        <v>500</v>
      </c>
      <c r="P32" s="131">
        <v>500</v>
      </c>
      <c r="Q32" s="131">
        <v>1000</v>
      </c>
      <c r="R32" s="131"/>
      <c r="S32" s="131"/>
      <c r="T32" s="131">
        <v>500</v>
      </c>
      <c r="U32" s="131"/>
      <c r="V32" s="131">
        <v>500</v>
      </c>
      <c r="W32" s="131">
        <v>1000</v>
      </c>
      <c r="X32" s="131"/>
      <c r="Y32" s="179">
        <f t="shared" si="0"/>
        <v>10000</v>
      </c>
      <c r="Z32" s="131">
        <v>20000</v>
      </c>
      <c r="AA32" s="131">
        <v>2700</v>
      </c>
      <c r="AB32" s="131">
        <f t="shared" si="1"/>
        <v>32700</v>
      </c>
      <c r="AC32" s="17"/>
      <c r="AD32" s="180">
        <f t="shared" si="2"/>
        <v>32700</v>
      </c>
    </row>
    <row r="33" spans="1:30" x14ac:dyDescent="0.25">
      <c r="A33" s="135" t="s">
        <v>104</v>
      </c>
      <c r="B33" s="138" t="s">
        <v>105</v>
      </c>
      <c r="C33" s="139" t="s">
        <v>34</v>
      </c>
      <c r="D33" s="43" t="s">
        <v>106</v>
      </c>
      <c r="E33" s="44"/>
      <c r="F33" s="44"/>
      <c r="G33" s="44"/>
      <c r="H33" s="44">
        <v>1000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>
        <v>1000</v>
      </c>
      <c r="U33" s="44">
        <v>1000</v>
      </c>
      <c r="V33" s="44"/>
      <c r="W33" s="44"/>
      <c r="X33" s="44">
        <v>1000</v>
      </c>
      <c r="Y33" s="136">
        <f t="shared" si="0"/>
        <v>4000</v>
      </c>
      <c r="Z33" s="44">
        <v>20000</v>
      </c>
      <c r="AA33" s="44">
        <v>1500</v>
      </c>
      <c r="AB33" s="46">
        <f t="shared" si="1"/>
        <v>25500</v>
      </c>
      <c r="AC33" s="47"/>
      <c r="AD33" s="137">
        <f t="shared" si="2"/>
        <v>25500</v>
      </c>
    </row>
    <row r="34" spans="1:30" s="181" customFormat="1" x14ac:dyDescent="0.25">
      <c r="A34" s="133" t="s">
        <v>107</v>
      </c>
      <c r="B34" s="20" t="s">
        <v>108</v>
      </c>
      <c r="C34" s="52" t="s">
        <v>19</v>
      </c>
      <c r="D34" s="178" t="s">
        <v>216</v>
      </c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>
        <v>1000</v>
      </c>
      <c r="R34" s="131"/>
      <c r="S34" s="131"/>
      <c r="T34" s="131"/>
      <c r="U34" s="131"/>
      <c r="V34" s="131"/>
      <c r="W34" s="131">
        <v>1000</v>
      </c>
      <c r="X34" s="131"/>
      <c r="Y34" s="179">
        <f t="shared" si="0"/>
        <v>2000</v>
      </c>
      <c r="Z34" s="131">
        <v>20000</v>
      </c>
      <c r="AA34" s="131">
        <v>2700</v>
      </c>
      <c r="AB34" s="131">
        <f t="shared" si="1"/>
        <v>24700</v>
      </c>
      <c r="AC34" s="17"/>
      <c r="AD34" s="180">
        <f t="shared" si="2"/>
        <v>24700</v>
      </c>
    </row>
    <row r="35" spans="1:30" x14ac:dyDescent="0.25">
      <c r="A35" s="135" t="s">
        <v>110</v>
      </c>
      <c r="B35" s="138" t="s">
        <v>111</v>
      </c>
      <c r="C35" s="139" t="s">
        <v>19</v>
      </c>
      <c r="D35" s="43" t="s">
        <v>112</v>
      </c>
      <c r="E35" s="44"/>
      <c r="F35" s="44"/>
      <c r="G35" s="44"/>
      <c r="H35" s="44">
        <v>1000</v>
      </c>
      <c r="I35" s="44">
        <v>1000</v>
      </c>
      <c r="J35" s="44">
        <v>1000</v>
      </c>
      <c r="K35" s="44">
        <v>1000</v>
      </c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>
        <v>1000</v>
      </c>
      <c r="Y35" s="136">
        <f t="shared" si="0"/>
        <v>5000</v>
      </c>
      <c r="Z35" s="44">
        <v>30000</v>
      </c>
      <c r="AA35" s="44">
        <v>1500</v>
      </c>
      <c r="AB35" s="46">
        <f t="shared" si="1"/>
        <v>36500</v>
      </c>
      <c r="AC35" s="47"/>
      <c r="AD35" s="137">
        <f t="shared" si="2"/>
        <v>36500</v>
      </c>
    </row>
    <row r="36" spans="1:30" x14ac:dyDescent="0.25">
      <c r="A36" s="11" t="s">
        <v>113</v>
      </c>
      <c r="B36" s="20" t="s">
        <v>114</v>
      </c>
      <c r="C36" s="12" t="s">
        <v>115</v>
      </c>
      <c r="D36" s="25" t="s">
        <v>116</v>
      </c>
      <c r="E36" s="105">
        <v>1000</v>
      </c>
      <c r="F36" s="107"/>
      <c r="G36" s="107"/>
      <c r="H36" s="107"/>
      <c r="I36" s="107"/>
      <c r="J36" s="107"/>
      <c r="K36" s="107"/>
      <c r="L36" s="107"/>
      <c r="M36" s="107"/>
      <c r="N36" s="107">
        <v>1000</v>
      </c>
      <c r="O36" s="107"/>
      <c r="P36" s="107"/>
      <c r="Q36" s="107"/>
      <c r="R36" s="107">
        <v>1000</v>
      </c>
      <c r="S36" s="107"/>
      <c r="T36" s="107"/>
      <c r="U36" s="107"/>
      <c r="V36" s="107"/>
      <c r="W36" s="107"/>
      <c r="X36" s="107">
        <v>1000</v>
      </c>
      <c r="Y36" s="86">
        <f t="shared" si="0"/>
        <v>4000</v>
      </c>
      <c r="Z36" s="14">
        <v>30000</v>
      </c>
      <c r="AA36" s="14">
        <v>1800</v>
      </c>
      <c r="AB36" s="8">
        <f t="shared" si="1"/>
        <v>35800</v>
      </c>
      <c r="AC36" s="27"/>
      <c r="AD36" s="18">
        <f t="shared" si="2"/>
        <v>35800</v>
      </c>
    </row>
    <row r="37" spans="1:30" s="181" customFormat="1" x14ac:dyDescent="0.25">
      <c r="A37" s="133" t="s">
        <v>117</v>
      </c>
      <c r="B37" s="20" t="s">
        <v>118</v>
      </c>
      <c r="C37" s="52" t="s">
        <v>19</v>
      </c>
      <c r="D37" s="183">
        <v>1347174311</v>
      </c>
      <c r="E37" s="145">
        <v>1000</v>
      </c>
      <c r="F37" s="184">
        <v>500</v>
      </c>
      <c r="G37" s="184">
        <v>1000</v>
      </c>
      <c r="H37" s="184">
        <v>500</v>
      </c>
      <c r="I37" s="184">
        <v>500</v>
      </c>
      <c r="J37" s="184">
        <v>500</v>
      </c>
      <c r="K37" s="184">
        <v>500</v>
      </c>
      <c r="L37" s="184">
        <v>500</v>
      </c>
      <c r="M37" s="184"/>
      <c r="N37" s="184">
        <v>500</v>
      </c>
      <c r="O37" s="184">
        <v>500</v>
      </c>
      <c r="P37" s="184">
        <v>500</v>
      </c>
      <c r="Q37" s="184">
        <v>1000</v>
      </c>
      <c r="R37" s="184"/>
      <c r="S37" s="184">
        <v>1000</v>
      </c>
      <c r="T37" s="184">
        <v>500</v>
      </c>
      <c r="U37" s="184"/>
      <c r="V37" s="184">
        <v>500</v>
      </c>
      <c r="W37" s="184"/>
      <c r="X37" s="184">
        <v>1000</v>
      </c>
      <c r="Y37" s="179">
        <f t="shared" si="0"/>
        <v>10500</v>
      </c>
      <c r="Z37" s="131">
        <v>25000</v>
      </c>
      <c r="AA37" s="131">
        <v>2700</v>
      </c>
      <c r="AB37" s="131">
        <f t="shared" si="1"/>
        <v>38200</v>
      </c>
      <c r="AC37" s="185"/>
      <c r="AD37" s="180">
        <f t="shared" si="2"/>
        <v>38200</v>
      </c>
    </row>
    <row r="38" spans="1:30" x14ac:dyDescent="0.25">
      <c r="A38" s="135" t="s">
        <v>119</v>
      </c>
      <c r="B38" s="140" t="s">
        <v>159</v>
      </c>
      <c r="C38" s="139" t="s">
        <v>34</v>
      </c>
      <c r="D38" s="141" t="s">
        <v>177</v>
      </c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36">
        <f t="shared" si="0"/>
        <v>0</v>
      </c>
      <c r="Z38" s="44">
        <v>18000</v>
      </c>
      <c r="AA38" s="44">
        <v>2100</v>
      </c>
      <c r="AB38" s="46">
        <f t="shared" si="1"/>
        <v>20100</v>
      </c>
      <c r="AC38" s="142"/>
      <c r="AD38" s="137">
        <f t="shared" si="2"/>
        <v>20100</v>
      </c>
    </row>
    <row r="39" spans="1:30" x14ac:dyDescent="0.25">
      <c r="A39" s="11" t="s">
        <v>120</v>
      </c>
      <c r="B39" s="28" t="s">
        <v>121</v>
      </c>
      <c r="C39" s="24" t="s">
        <v>23</v>
      </c>
      <c r="D39" s="30" t="s">
        <v>122</v>
      </c>
      <c r="E39" s="106"/>
      <c r="F39" s="108">
        <v>1000</v>
      </c>
      <c r="G39" s="108"/>
      <c r="H39" s="108"/>
      <c r="I39" s="108"/>
      <c r="J39" s="108">
        <v>1000</v>
      </c>
      <c r="K39" s="108">
        <v>1000</v>
      </c>
      <c r="L39" s="108"/>
      <c r="M39" s="108"/>
      <c r="N39" s="108"/>
      <c r="O39" s="108"/>
      <c r="P39" s="108"/>
      <c r="Q39" s="108">
        <v>1000</v>
      </c>
      <c r="R39" s="108"/>
      <c r="S39" s="108"/>
      <c r="T39" s="108">
        <v>500</v>
      </c>
      <c r="U39" s="108"/>
      <c r="V39" s="108">
        <v>500</v>
      </c>
      <c r="W39" s="108"/>
      <c r="X39" s="108"/>
      <c r="Y39" s="86">
        <f t="shared" si="0"/>
        <v>5000</v>
      </c>
      <c r="Z39" s="14">
        <v>25000</v>
      </c>
      <c r="AA39" s="14">
        <v>4500</v>
      </c>
      <c r="AB39" s="8">
        <f t="shared" si="1"/>
        <v>34500</v>
      </c>
      <c r="AC39" s="27"/>
      <c r="AD39" s="18">
        <f t="shared" si="2"/>
        <v>34500</v>
      </c>
    </row>
    <row r="40" spans="1:30" x14ac:dyDescent="0.25">
      <c r="A40" s="11" t="s">
        <v>123</v>
      </c>
      <c r="B40" s="28" t="s">
        <v>124</v>
      </c>
      <c r="C40" s="24" t="s">
        <v>34</v>
      </c>
      <c r="D40" s="30" t="s">
        <v>125</v>
      </c>
      <c r="E40" s="106"/>
      <c r="F40" s="108"/>
      <c r="G40" s="108"/>
      <c r="H40" s="108">
        <v>1000</v>
      </c>
      <c r="I40" s="108"/>
      <c r="J40" s="108">
        <v>1000</v>
      </c>
      <c r="K40" s="108">
        <v>1000</v>
      </c>
      <c r="L40" s="108"/>
      <c r="M40" s="108"/>
      <c r="N40" s="108"/>
      <c r="O40" s="108"/>
      <c r="P40" s="108"/>
      <c r="Q40" s="108">
        <v>1000</v>
      </c>
      <c r="R40" s="108"/>
      <c r="S40" s="108"/>
      <c r="T40" s="108"/>
      <c r="U40" s="108"/>
      <c r="V40" s="108"/>
      <c r="W40" s="108"/>
      <c r="X40" s="108">
        <v>1000</v>
      </c>
      <c r="Y40" s="86">
        <f t="shared" si="0"/>
        <v>5000</v>
      </c>
      <c r="Z40" s="14">
        <v>20000</v>
      </c>
      <c r="AA40" s="14">
        <v>4500</v>
      </c>
      <c r="AB40" s="8">
        <f t="shared" si="1"/>
        <v>29500</v>
      </c>
      <c r="AC40" s="27"/>
      <c r="AD40" s="18">
        <f t="shared" si="2"/>
        <v>29500</v>
      </c>
    </row>
    <row r="41" spans="1:30" x14ac:dyDescent="0.25">
      <c r="A41" s="91" t="s">
        <v>126</v>
      </c>
      <c r="B41" s="23" t="s">
        <v>127</v>
      </c>
      <c r="C41" s="24" t="s">
        <v>27</v>
      </c>
      <c r="D41" s="30" t="s">
        <v>128</v>
      </c>
      <c r="E41" s="106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>
        <v>1000</v>
      </c>
      <c r="R41" s="109"/>
      <c r="S41" s="109">
        <v>1000</v>
      </c>
      <c r="T41" s="109"/>
      <c r="U41" s="109"/>
      <c r="V41" s="109">
        <v>500</v>
      </c>
      <c r="W41" s="109"/>
      <c r="X41" s="109"/>
      <c r="Y41" s="86">
        <f t="shared" si="0"/>
        <v>2500</v>
      </c>
      <c r="Z41" s="50">
        <v>20000</v>
      </c>
      <c r="AA41" s="50">
        <v>4400</v>
      </c>
      <c r="AB41" s="8">
        <f t="shared" si="1"/>
        <v>26900</v>
      </c>
      <c r="AC41" s="92">
        <v>5000</v>
      </c>
      <c r="AD41" s="93">
        <f t="shared" si="2"/>
        <v>21900</v>
      </c>
    </row>
    <row r="42" spans="1:30" s="181" customFormat="1" x14ac:dyDescent="0.25">
      <c r="A42" s="133" t="s">
        <v>129</v>
      </c>
      <c r="B42" s="20" t="s">
        <v>175</v>
      </c>
      <c r="C42" s="52" t="s">
        <v>34</v>
      </c>
      <c r="D42" s="178" t="s">
        <v>161</v>
      </c>
      <c r="E42" s="131"/>
      <c r="F42" s="131"/>
      <c r="G42" s="131"/>
      <c r="H42" s="131"/>
      <c r="I42" s="131"/>
      <c r="J42" s="131"/>
      <c r="K42" s="131"/>
      <c r="L42" s="131"/>
      <c r="M42" s="131">
        <v>1000</v>
      </c>
      <c r="N42" s="131">
        <v>1000</v>
      </c>
      <c r="O42" s="131"/>
      <c r="P42" s="131"/>
      <c r="Q42" s="131">
        <v>1000</v>
      </c>
      <c r="R42" s="131">
        <v>1000</v>
      </c>
      <c r="S42" s="131"/>
      <c r="T42" s="131"/>
      <c r="U42" s="131"/>
      <c r="V42" s="131"/>
      <c r="W42" s="131">
        <v>1000</v>
      </c>
      <c r="X42" s="131">
        <v>1000</v>
      </c>
      <c r="Y42" s="179">
        <f t="shared" si="0"/>
        <v>6000</v>
      </c>
      <c r="Z42" s="131">
        <v>35000</v>
      </c>
      <c r="AA42" s="131">
        <v>3700</v>
      </c>
      <c r="AB42" s="131">
        <f t="shared" si="1"/>
        <v>44700</v>
      </c>
      <c r="AC42" s="17"/>
      <c r="AD42" s="180">
        <f t="shared" si="2"/>
        <v>44700</v>
      </c>
    </row>
    <row r="43" spans="1:30" x14ac:dyDescent="0.25">
      <c r="A43" s="135" t="s">
        <v>132</v>
      </c>
      <c r="B43" s="138" t="s">
        <v>176</v>
      </c>
      <c r="C43" s="139" t="s">
        <v>34</v>
      </c>
      <c r="D43" s="43" t="s">
        <v>163</v>
      </c>
      <c r="E43" s="44"/>
      <c r="F43" s="44"/>
      <c r="G43" s="44"/>
      <c r="H43" s="44"/>
      <c r="I43" s="44"/>
      <c r="J43" s="44"/>
      <c r="K43" s="44">
        <v>1000</v>
      </c>
      <c r="L43" s="44"/>
      <c r="M43" s="44"/>
      <c r="N43" s="44"/>
      <c r="O43" s="44"/>
      <c r="P43" s="44"/>
      <c r="Q43" s="44">
        <v>1000</v>
      </c>
      <c r="R43" s="44"/>
      <c r="S43" s="44"/>
      <c r="T43" s="44"/>
      <c r="U43" s="44"/>
      <c r="V43" s="44"/>
      <c r="W43" s="44"/>
      <c r="X43" s="44"/>
      <c r="Y43" s="136">
        <f t="shared" si="0"/>
        <v>2000</v>
      </c>
      <c r="Z43" s="44">
        <v>19000</v>
      </c>
      <c r="AA43" s="44">
        <v>4200</v>
      </c>
      <c r="AB43" s="46">
        <f t="shared" si="1"/>
        <v>25200</v>
      </c>
      <c r="AC43" s="47"/>
      <c r="AD43" s="137">
        <f t="shared" si="2"/>
        <v>25200</v>
      </c>
    </row>
    <row r="44" spans="1:30" x14ac:dyDescent="0.25">
      <c r="A44" s="133" t="s">
        <v>160</v>
      </c>
      <c r="B44" s="23" t="s">
        <v>228</v>
      </c>
      <c r="C44" s="24" t="s">
        <v>34</v>
      </c>
      <c r="D44" s="13" t="s">
        <v>183</v>
      </c>
      <c r="E44" s="131">
        <v>1000</v>
      </c>
      <c r="F44" s="131">
        <v>500</v>
      </c>
      <c r="G44" s="131">
        <v>1000</v>
      </c>
      <c r="H44" s="131">
        <v>500</v>
      </c>
      <c r="I44" s="131">
        <v>500</v>
      </c>
      <c r="J44" s="131">
        <v>500</v>
      </c>
      <c r="K44" s="131">
        <v>500</v>
      </c>
      <c r="L44" s="131">
        <v>500</v>
      </c>
      <c r="M44" s="131">
        <v>1000</v>
      </c>
      <c r="N44" s="131">
        <v>500</v>
      </c>
      <c r="O44" s="131">
        <v>500</v>
      </c>
      <c r="P44" s="131"/>
      <c r="Q44" s="131"/>
      <c r="R44" s="131"/>
      <c r="S44" s="131"/>
      <c r="T44" s="131">
        <v>500</v>
      </c>
      <c r="U44" s="131"/>
      <c r="V44" s="131">
        <v>500</v>
      </c>
      <c r="W44" s="131">
        <v>1000</v>
      </c>
      <c r="X44" s="131">
        <v>1000</v>
      </c>
      <c r="Y44" s="179">
        <f t="shared" si="0"/>
        <v>10000</v>
      </c>
      <c r="Z44" s="131">
        <v>25000</v>
      </c>
      <c r="AA44" s="131">
        <v>4990</v>
      </c>
      <c r="AB44" s="100">
        <f t="shared" si="1"/>
        <v>39990</v>
      </c>
      <c r="AC44" s="17"/>
      <c r="AD44" s="18">
        <f>AB44-AC44</f>
        <v>39990</v>
      </c>
    </row>
    <row r="45" spans="1:30" x14ac:dyDescent="0.25">
      <c r="A45" s="11" t="s">
        <v>162</v>
      </c>
      <c r="B45" s="23" t="s">
        <v>221</v>
      </c>
      <c r="C45" s="24" t="s">
        <v>34</v>
      </c>
      <c r="D45" s="13" t="s">
        <v>222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>
        <v>1000</v>
      </c>
      <c r="R45" s="14"/>
      <c r="S45" s="14"/>
      <c r="T45" s="14"/>
      <c r="U45" s="14"/>
      <c r="V45" s="14"/>
      <c r="W45" s="14"/>
      <c r="X45" s="14"/>
      <c r="Y45" s="86">
        <f t="shared" si="0"/>
        <v>1000</v>
      </c>
      <c r="Z45" s="14">
        <v>18000</v>
      </c>
      <c r="AA45" s="14">
        <v>4850</v>
      </c>
      <c r="AB45" s="8">
        <f t="shared" si="1"/>
        <v>23850</v>
      </c>
      <c r="AC45" s="19"/>
      <c r="AD45" s="18">
        <f t="shared" ref="AD45:AD50" si="3">AB45-AC45</f>
        <v>23850</v>
      </c>
    </row>
    <row r="46" spans="1:30" x14ac:dyDescent="0.25">
      <c r="A46" s="11" t="s">
        <v>181</v>
      </c>
      <c r="B46" s="23" t="s">
        <v>218</v>
      </c>
      <c r="C46" s="24" t="s">
        <v>23</v>
      </c>
      <c r="D46" s="13" t="s">
        <v>245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86">
        <f t="shared" si="0"/>
        <v>0</v>
      </c>
      <c r="Z46" s="14">
        <v>10000</v>
      </c>
      <c r="AA46" s="14">
        <v>2400</v>
      </c>
      <c r="AB46" s="8">
        <f t="shared" si="1"/>
        <v>12400</v>
      </c>
      <c r="AC46" s="19"/>
      <c r="AD46" s="18">
        <f t="shared" si="3"/>
        <v>12400</v>
      </c>
    </row>
    <row r="47" spans="1:30" x14ac:dyDescent="0.25">
      <c r="A47" s="11" t="s">
        <v>217</v>
      </c>
      <c r="B47" s="12" t="s">
        <v>225</v>
      </c>
      <c r="C47" s="12" t="s">
        <v>56</v>
      </c>
      <c r="D47" s="13" t="s">
        <v>226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>
        <v>1000</v>
      </c>
      <c r="U47" s="14">
        <v>1000</v>
      </c>
      <c r="V47" s="14">
        <v>1000</v>
      </c>
      <c r="W47" s="14"/>
      <c r="X47" s="14">
        <v>1000</v>
      </c>
      <c r="Y47" s="86">
        <f t="shared" si="0"/>
        <v>4000</v>
      </c>
      <c r="Z47" s="14">
        <v>12300</v>
      </c>
      <c r="AA47" s="14"/>
      <c r="AB47" s="8">
        <f t="shared" si="1"/>
        <v>16300</v>
      </c>
      <c r="AC47" s="19"/>
      <c r="AD47" s="18">
        <f t="shared" si="3"/>
        <v>16300</v>
      </c>
    </row>
    <row r="48" spans="1:30" s="181" customFormat="1" x14ac:dyDescent="0.25">
      <c r="A48" s="102">
        <v>44</v>
      </c>
      <c r="B48" s="20" t="s">
        <v>148</v>
      </c>
      <c r="C48" s="20" t="s">
        <v>34</v>
      </c>
      <c r="D48" s="178" t="s">
        <v>149</v>
      </c>
      <c r="E48" s="186"/>
      <c r="F48" s="186"/>
      <c r="G48" s="186"/>
      <c r="H48" s="186"/>
      <c r="I48" s="186"/>
      <c r="J48" s="186"/>
      <c r="K48" s="186"/>
      <c r="L48" s="186"/>
      <c r="M48" s="186"/>
      <c r="N48" s="186">
        <v>1000</v>
      </c>
      <c r="O48" s="186"/>
      <c r="P48" s="186"/>
      <c r="Q48" s="186">
        <v>1000</v>
      </c>
      <c r="R48" s="186">
        <v>1000</v>
      </c>
      <c r="S48" s="186"/>
      <c r="T48" s="186"/>
      <c r="U48" s="186"/>
      <c r="V48" s="186"/>
      <c r="W48" s="186"/>
      <c r="X48" s="186"/>
      <c r="Y48" s="179">
        <f t="shared" si="0"/>
        <v>3000</v>
      </c>
      <c r="Z48" s="186">
        <v>25000</v>
      </c>
      <c r="AA48" s="186">
        <v>3960</v>
      </c>
      <c r="AB48" s="131">
        <f t="shared" si="1"/>
        <v>31960</v>
      </c>
      <c r="AC48" s="187"/>
      <c r="AD48" s="180">
        <f t="shared" si="3"/>
        <v>31960</v>
      </c>
    </row>
    <row r="49" spans="1:30" x14ac:dyDescent="0.25">
      <c r="A49" s="135" t="s">
        <v>223</v>
      </c>
      <c r="B49" s="138" t="s">
        <v>130</v>
      </c>
      <c r="C49" s="139" t="s">
        <v>27</v>
      </c>
      <c r="D49" s="43" t="s">
        <v>131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136">
        <f t="shared" si="0"/>
        <v>0</v>
      </c>
      <c r="Z49" s="44">
        <v>100000</v>
      </c>
      <c r="AA49" s="44"/>
      <c r="AB49" s="46">
        <f t="shared" si="1"/>
        <v>100000</v>
      </c>
      <c r="AC49" s="47"/>
      <c r="AD49" s="137">
        <f t="shared" si="3"/>
        <v>100000</v>
      </c>
    </row>
    <row r="50" spans="1:30" x14ac:dyDescent="0.25">
      <c r="A50" s="11" t="s">
        <v>227</v>
      </c>
      <c r="B50" s="23" t="s">
        <v>133</v>
      </c>
      <c r="C50" s="24" t="s">
        <v>27</v>
      </c>
      <c r="D50" s="53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6">
        <f t="shared" si="0"/>
        <v>0</v>
      </c>
      <c r="Z50" s="14">
        <v>150000</v>
      </c>
      <c r="AA50" s="14"/>
      <c r="AB50" s="8">
        <f t="shared" si="1"/>
        <v>150000</v>
      </c>
      <c r="AC50" s="19"/>
      <c r="AD50" s="18">
        <f t="shared" si="3"/>
        <v>150000</v>
      </c>
    </row>
    <row r="51" spans="1:30" s="101" customFormat="1" x14ac:dyDescent="0.25">
      <c r="A51" s="99"/>
      <c r="B51" s="2"/>
      <c r="C51" s="2"/>
      <c r="D51" s="53" t="s">
        <v>224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0">
        <f>SUM(Y5:Y50)</f>
        <v>139500</v>
      </c>
      <c r="Z51" s="100">
        <f>SUM(Z5:Z50)</f>
        <v>1249500</v>
      </c>
      <c r="AA51" s="100">
        <f>SUM(AA5:AA50)</f>
        <v>233000</v>
      </c>
      <c r="AB51" s="100">
        <f>SUM(AB5:AB50)</f>
        <v>1622000</v>
      </c>
      <c r="AC51" s="111">
        <f t="shared" ref="AC51" si="4">SUM(AC5:AC50)</f>
        <v>7000</v>
      </c>
      <c r="AD51" s="100">
        <f>SUM(AD5:AD50)</f>
        <v>1615000</v>
      </c>
    </row>
    <row r="52" spans="1:30" x14ac:dyDescent="0.25">
      <c r="A52" s="94"/>
      <c r="B52" s="24"/>
      <c r="C52" s="95"/>
      <c r="D52" s="96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89"/>
      <c r="Z52" s="39"/>
      <c r="AA52" s="39"/>
      <c r="AB52" s="8"/>
      <c r="AC52" s="97"/>
      <c r="AD52" s="98"/>
    </row>
    <row r="53" spans="1:30" x14ac:dyDescent="0.25">
      <c r="A53" s="35" t="s">
        <v>135</v>
      </c>
      <c r="B53" s="35"/>
      <c r="C53" s="36"/>
      <c r="D53" s="37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3"/>
      <c r="Z53" s="39"/>
      <c r="AA53" s="39"/>
      <c r="AB53" s="8"/>
      <c r="AC53" s="40"/>
      <c r="AD53" s="41"/>
    </row>
    <row r="54" spans="1:30" x14ac:dyDescent="0.25">
      <c r="A54" s="20">
        <v>1</v>
      </c>
      <c r="B54" s="42" t="s">
        <v>136</v>
      </c>
      <c r="C54" s="42" t="s">
        <v>23</v>
      </c>
      <c r="D54" s="13" t="s">
        <v>137</v>
      </c>
      <c r="E54" s="44">
        <v>1000</v>
      </c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5">
        <f t="shared" ref="Y54:Y59" si="5">SUM(E54:X54)</f>
        <v>1000</v>
      </c>
      <c r="Z54" s="44">
        <v>30000</v>
      </c>
      <c r="AA54" s="44"/>
      <c r="AB54" s="46">
        <f>Y54+Z54+AA54</f>
        <v>31000</v>
      </c>
      <c r="AC54" s="47"/>
      <c r="AD54" s="18">
        <f>AB54-AC54</f>
        <v>31000</v>
      </c>
    </row>
    <row r="55" spans="1:30" x14ac:dyDescent="0.25">
      <c r="A55" s="20">
        <v>2</v>
      </c>
      <c r="B55" s="12" t="s">
        <v>138</v>
      </c>
      <c r="C55" s="42" t="s">
        <v>16</v>
      </c>
      <c r="D55" s="13" t="s">
        <v>139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5">
        <f t="shared" si="5"/>
        <v>0</v>
      </c>
      <c r="Z55" s="14">
        <v>20000</v>
      </c>
      <c r="AA55" s="44"/>
      <c r="AB55" s="46">
        <f t="shared" ref="AB55:AB59" si="6">Y55+Z55+AA55</f>
        <v>20000</v>
      </c>
      <c r="AC55" s="19"/>
      <c r="AD55" s="18">
        <f t="shared" ref="AD55:AD59" si="7">AB55-AC55</f>
        <v>20000</v>
      </c>
    </row>
    <row r="56" spans="1:30" x14ac:dyDescent="0.25">
      <c r="A56" s="20">
        <v>3</v>
      </c>
      <c r="B56" s="12" t="s">
        <v>140</v>
      </c>
      <c r="C56" s="48" t="s">
        <v>56</v>
      </c>
      <c r="D56" s="13" t="s">
        <v>141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5">
        <f t="shared" si="5"/>
        <v>0</v>
      </c>
      <c r="Z56" s="14">
        <v>23000</v>
      </c>
      <c r="AA56" s="44"/>
      <c r="AB56" s="46">
        <f t="shared" si="6"/>
        <v>23000</v>
      </c>
      <c r="AC56" s="19"/>
      <c r="AD56" s="18">
        <f t="shared" si="7"/>
        <v>23000</v>
      </c>
    </row>
    <row r="57" spans="1:30" x14ac:dyDescent="0.25">
      <c r="A57" s="20">
        <v>4</v>
      </c>
      <c r="B57" s="12" t="s">
        <v>142</v>
      </c>
      <c r="C57" s="12" t="s">
        <v>34</v>
      </c>
      <c r="D57" s="13" t="s">
        <v>143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5">
        <f t="shared" si="5"/>
        <v>0</v>
      </c>
      <c r="Z57" s="14">
        <v>0</v>
      </c>
      <c r="AA57" s="44"/>
      <c r="AB57" s="46">
        <f t="shared" si="6"/>
        <v>0</v>
      </c>
      <c r="AC57" s="19"/>
      <c r="AD57" s="18">
        <f t="shared" si="7"/>
        <v>0</v>
      </c>
    </row>
    <row r="58" spans="1:30" x14ac:dyDescent="0.25">
      <c r="A58" s="20">
        <v>5</v>
      </c>
      <c r="B58" s="23" t="s">
        <v>144</v>
      </c>
      <c r="C58" s="12" t="s">
        <v>16</v>
      </c>
      <c r="D58" s="49" t="s">
        <v>145</v>
      </c>
      <c r="E58" s="1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5">
        <f t="shared" si="5"/>
        <v>0</v>
      </c>
      <c r="Z58" s="50">
        <v>0</v>
      </c>
      <c r="AA58" s="14"/>
      <c r="AB58" s="46">
        <f>Y58+Z58+AA58</f>
        <v>0</v>
      </c>
      <c r="AC58" s="51"/>
      <c r="AD58" s="18">
        <f t="shared" si="7"/>
        <v>0</v>
      </c>
    </row>
    <row r="59" spans="1:30" x14ac:dyDescent="0.25">
      <c r="A59" s="52">
        <v>6</v>
      </c>
      <c r="B59" s="12" t="s">
        <v>178</v>
      </c>
      <c r="C59" s="12" t="s">
        <v>179</v>
      </c>
      <c r="D59" s="13" t="s">
        <v>180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5">
        <f t="shared" si="5"/>
        <v>0</v>
      </c>
      <c r="Z59" s="14">
        <v>15000</v>
      </c>
      <c r="AA59" s="44"/>
      <c r="AB59" s="46">
        <f t="shared" si="6"/>
        <v>15000</v>
      </c>
      <c r="AC59" s="27"/>
      <c r="AD59" s="18">
        <f t="shared" si="7"/>
        <v>15000</v>
      </c>
    </row>
    <row r="60" spans="1:30" x14ac:dyDescent="0.25">
      <c r="A60" s="35"/>
      <c r="B60" s="2"/>
      <c r="C60" s="2"/>
      <c r="D60" s="53" t="s">
        <v>146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54">
        <f>SUM(Y54:Y59)</f>
        <v>1000</v>
      </c>
      <c r="Z60" s="18">
        <f>SUM(Z54:Z59)</f>
        <v>88000</v>
      </c>
      <c r="AA60" s="18">
        <f t="shared" ref="AA60:AC60" si="8">SUM(AA54:AA59)</f>
        <v>0</v>
      </c>
      <c r="AB60" s="18">
        <f>SUM(AB54:AB59)</f>
        <v>89000</v>
      </c>
      <c r="AC60" s="18">
        <f t="shared" si="8"/>
        <v>0</v>
      </c>
      <c r="AD60" s="18">
        <f>SUM(AD54:AD59)</f>
        <v>89000</v>
      </c>
    </row>
    <row r="61" spans="1:30" x14ac:dyDescent="0.25">
      <c r="A61" s="35" t="s">
        <v>147</v>
      </c>
      <c r="B61" s="52"/>
      <c r="C61" s="56"/>
      <c r="D61" s="57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104"/>
      <c r="Z61" s="58"/>
      <c r="AA61" s="58"/>
      <c r="AB61" s="61"/>
      <c r="AC61" s="62"/>
      <c r="AD61" s="41"/>
    </row>
    <row r="63" spans="1:30" x14ac:dyDescent="0.25">
      <c r="A63" s="20">
        <v>2</v>
      </c>
      <c r="B63" s="12" t="s">
        <v>150</v>
      </c>
      <c r="C63" s="12" t="s">
        <v>27</v>
      </c>
      <c r="D63" s="13" t="s">
        <v>151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03">
        <f>SUM(E63:X63)</f>
        <v>0</v>
      </c>
      <c r="Z63" s="14">
        <v>30000</v>
      </c>
      <c r="AA63" s="14"/>
      <c r="AB63" s="8">
        <f t="shared" ref="AB63:AB65" si="9">Y63+Z63+AA63</f>
        <v>30000</v>
      </c>
      <c r="AC63" s="19"/>
      <c r="AD63" s="18">
        <f t="shared" ref="AD63:AD65" si="10">AB63-AC63</f>
        <v>30000</v>
      </c>
    </row>
    <row r="64" spans="1:30" x14ac:dyDescent="0.25">
      <c r="A64" s="20">
        <v>3</v>
      </c>
      <c r="B64" s="12" t="s">
        <v>152</v>
      </c>
      <c r="C64" s="12" t="s">
        <v>27</v>
      </c>
      <c r="D64" s="13" t="s">
        <v>153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103">
        <f>SUM(E64:X64)</f>
        <v>0</v>
      </c>
      <c r="Z64" s="14">
        <v>25000</v>
      </c>
      <c r="AA64" s="14"/>
      <c r="AB64" s="8">
        <f t="shared" si="9"/>
        <v>25000</v>
      </c>
      <c r="AC64" s="19"/>
      <c r="AD64" s="18">
        <f t="shared" si="10"/>
        <v>25000</v>
      </c>
    </row>
    <row r="65" spans="1:30" x14ac:dyDescent="0.25">
      <c r="A65" s="52">
        <v>4</v>
      </c>
      <c r="B65" s="24" t="s">
        <v>154</v>
      </c>
      <c r="C65" s="12" t="s">
        <v>19</v>
      </c>
      <c r="D65" s="13" t="s">
        <v>155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103">
        <f>SUM(E65:X65)</f>
        <v>0</v>
      </c>
      <c r="Z65" s="14">
        <v>20000</v>
      </c>
      <c r="AA65" s="44"/>
      <c r="AB65" s="46">
        <f t="shared" si="9"/>
        <v>20000</v>
      </c>
      <c r="AC65" s="19"/>
      <c r="AD65" s="18">
        <f t="shared" si="10"/>
        <v>20000</v>
      </c>
    </row>
    <row r="66" spans="1:30" x14ac:dyDescent="0.25">
      <c r="A66" s="35"/>
      <c r="B66" s="32"/>
      <c r="C66" s="63"/>
      <c r="D66" s="53" t="s">
        <v>156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54">
        <f>SUM(Y63:Y65)</f>
        <v>0</v>
      </c>
      <c r="Z66" s="8">
        <f>SUM(Z63:Z65)</f>
        <v>75000</v>
      </c>
      <c r="AA66" s="8">
        <f t="shared" ref="AA66:AC66" si="11">SUM(AA63:AA65)</f>
        <v>0</v>
      </c>
      <c r="AB66" s="8">
        <f>SUM(AB63:AB65)</f>
        <v>75000</v>
      </c>
      <c r="AC66" s="8">
        <f t="shared" si="11"/>
        <v>0</v>
      </c>
      <c r="AD66" s="8">
        <f>SUM(AD63:AD65)</f>
        <v>75000</v>
      </c>
    </row>
    <row r="67" spans="1:30" x14ac:dyDescent="0.25">
      <c r="A67" s="35" t="s">
        <v>157</v>
      </c>
      <c r="B67" s="52"/>
      <c r="C67" s="56"/>
      <c r="D67" s="57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60"/>
      <c r="Z67" s="58"/>
      <c r="AA67" s="58"/>
      <c r="AB67" s="61"/>
      <c r="AC67" s="62"/>
      <c r="AD67" s="41"/>
    </row>
    <row r="68" spans="1:30" x14ac:dyDescent="0.25">
      <c r="A68" s="20">
        <v>1</v>
      </c>
      <c r="B68" s="42" t="s">
        <v>158</v>
      </c>
      <c r="C68" s="42" t="s">
        <v>19</v>
      </c>
      <c r="D68" s="13">
        <v>1236977351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5">
        <f>SUM(E68:X68)</f>
        <v>0</v>
      </c>
      <c r="Z68" s="44">
        <v>40000</v>
      </c>
      <c r="AA68" s="44"/>
      <c r="AB68" s="46">
        <f>Z68+Y68+AA68</f>
        <v>40000</v>
      </c>
      <c r="AC68" s="47"/>
      <c r="AD68" s="18">
        <f>AB68-AC68</f>
        <v>40000</v>
      </c>
    </row>
    <row r="69" spans="1:30" x14ac:dyDescent="0.25">
      <c r="Y69" s="85"/>
    </row>
    <row r="70" spans="1:30" x14ac:dyDescent="0.25">
      <c r="A70" s="2" t="s">
        <v>229</v>
      </c>
      <c r="B70" s="12"/>
      <c r="C70" s="12"/>
      <c r="D70" s="13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6">
        <f>SUM(E71:X71)</f>
        <v>0</v>
      </c>
      <c r="Z70" s="14"/>
      <c r="AA70" s="14"/>
      <c r="AB70" s="8"/>
      <c r="AC70" s="19"/>
      <c r="AD70" s="18"/>
    </row>
    <row r="71" spans="1:30" x14ac:dyDescent="0.25">
      <c r="A71" s="20">
        <v>1</v>
      </c>
      <c r="B71" s="23" t="s">
        <v>165</v>
      </c>
      <c r="C71" s="12" t="s">
        <v>27</v>
      </c>
      <c r="D71" s="13" t="s">
        <v>166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6">
        <f>SUM(E71:X71)</f>
        <v>0</v>
      </c>
      <c r="Z71" s="14">
        <v>40000</v>
      </c>
      <c r="AA71" s="14">
        <v>7000</v>
      </c>
      <c r="AB71" s="8">
        <f>Y71+Z71+AA71</f>
        <v>47000</v>
      </c>
      <c r="AC71" s="19"/>
      <c r="AD71" s="18">
        <f>AB71-AC71</f>
        <v>47000</v>
      </c>
    </row>
    <row r="72" spans="1:30" x14ac:dyDescent="0.25">
      <c r="A72" s="20">
        <v>2</v>
      </c>
      <c r="B72" s="12" t="s">
        <v>167</v>
      </c>
      <c r="C72" s="64" t="s">
        <v>168</v>
      </c>
      <c r="D72" s="13" t="s">
        <v>169</v>
      </c>
      <c r="E72" s="14"/>
      <c r="F72" s="14"/>
      <c r="G72" s="14"/>
      <c r="H72" s="14"/>
      <c r="I72" s="14">
        <v>1000</v>
      </c>
      <c r="J72" s="14">
        <v>1000</v>
      </c>
      <c r="K72" s="14">
        <v>1000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6">
        <f>SUM(E72:X72)</f>
        <v>3000</v>
      </c>
      <c r="Z72" s="14">
        <v>35000</v>
      </c>
      <c r="AA72" s="14">
        <v>3700</v>
      </c>
      <c r="AB72" s="8">
        <f t="shared" ref="AB72:AB74" si="12">Y72+Z72+AA72</f>
        <v>41700</v>
      </c>
      <c r="AC72" s="19"/>
      <c r="AD72" s="18">
        <f t="shared" ref="AD72:AD74" si="13">AB72-AC72</f>
        <v>41700</v>
      </c>
    </row>
    <row r="73" spans="1:30" x14ac:dyDescent="0.25">
      <c r="A73" s="20">
        <v>3</v>
      </c>
      <c r="B73" s="12" t="s">
        <v>170</v>
      </c>
      <c r="C73" s="64" t="s">
        <v>27</v>
      </c>
      <c r="D73" s="13" t="s">
        <v>184</v>
      </c>
      <c r="E73" s="14"/>
      <c r="F73" s="14"/>
      <c r="G73" s="14"/>
      <c r="H73" s="14"/>
      <c r="I73" s="14">
        <v>1000</v>
      </c>
      <c r="J73" s="14">
        <v>1000</v>
      </c>
      <c r="K73" s="14">
        <v>1000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6">
        <f>SUM(E73:X73)</f>
        <v>3000</v>
      </c>
      <c r="Z73" s="14">
        <v>14400</v>
      </c>
      <c r="AA73" s="14">
        <v>2400</v>
      </c>
      <c r="AB73" s="8">
        <f t="shared" si="12"/>
        <v>19800</v>
      </c>
      <c r="AC73" s="19"/>
      <c r="AD73" s="18">
        <f t="shared" si="13"/>
        <v>19800</v>
      </c>
    </row>
    <row r="74" spans="1:30" x14ac:dyDescent="0.25">
      <c r="A74" s="20">
        <v>4</v>
      </c>
      <c r="B74" s="12" t="s">
        <v>171</v>
      </c>
      <c r="C74" s="24" t="s">
        <v>27</v>
      </c>
      <c r="D74" s="13" t="s">
        <v>172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6">
        <f>SUM(E74:X74)</f>
        <v>0</v>
      </c>
      <c r="Z74" s="14">
        <v>80000</v>
      </c>
      <c r="AA74" s="14">
        <v>7400</v>
      </c>
      <c r="AB74" s="8">
        <f t="shared" si="12"/>
        <v>87400</v>
      </c>
      <c r="AC74" s="19"/>
      <c r="AD74" s="18">
        <f t="shared" si="13"/>
        <v>87400</v>
      </c>
    </row>
    <row r="75" spans="1:30" x14ac:dyDescent="0.25">
      <c r="A75" s="2"/>
      <c r="B75" s="2"/>
      <c r="C75" s="65"/>
      <c r="D75" s="53" t="s">
        <v>173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0">
        <f>SUM(Y70:Y74)</f>
        <v>6000</v>
      </c>
      <c r="Z75" s="8">
        <f>SUM(Z71:Z74)</f>
        <v>169400</v>
      </c>
      <c r="AA75" s="8">
        <f>SUM(AA71:AA74)</f>
        <v>20500</v>
      </c>
      <c r="AB75" s="8">
        <f>SUM(AB71:AB74)</f>
        <v>195900</v>
      </c>
      <c r="AC75" s="34">
        <f>AC71+AC72</f>
        <v>0</v>
      </c>
      <c r="AD75" s="18">
        <f>SUM(AD71:AD74)</f>
        <v>195900</v>
      </c>
    </row>
    <row r="76" spans="1:30" x14ac:dyDescent="0.25">
      <c r="A76" s="2"/>
      <c r="B76" s="2"/>
      <c r="C76" s="65"/>
      <c r="D76" s="53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6"/>
      <c r="Z76" s="8"/>
      <c r="AA76" s="8"/>
      <c r="AB76" s="8"/>
      <c r="AC76" s="34"/>
      <c r="AD76" s="18"/>
    </row>
    <row r="77" spans="1:30" ht="15.75" thickBot="1" x14ac:dyDescent="0.3">
      <c r="A77" s="66"/>
      <c r="B77" s="66"/>
      <c r="C77" s="66"/>
      <c r="D77" s="66" t="s">
        <v>174</v>
      </c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>
        <f>Y51+Y60+Y66+Y68+Y75</f>
        <v>146500</v>
      </c>
      <c r="Z77" s="69">
        <f>Z51+Z60+Z66+Z68+Z75</f>
        <v>1621900</v>
      </c>
      <c r="AA77" s="69">
        <f>AA51+AA60+AA66+AA68+AA75</f>
        <v>253500</v>
      </c>
      <c r="AB77" s="69">
        <f t="shared" ref="AB77:AC77" si="14">AB51+AB60+AB66+AB68+AB75</f>
        <v>2021900</v>
      </c>
      <c r="AC77" s="69">
        <f t="shared" si="14"/>
        <v>7000</v>
      </c>
      <c r="AD77" s="69">
        <f>AD51+AD60+AD66+AD68+AD75</f>
        <v>2014900</v>
      </c>
    </row>
    <row r="78" spans="1:30" ht="15.75" thickTop="1" x14ac:dyDescent="0.25"/>
  </sheetData>
  <mergeCells count="3">
    <mergeCell ref="A1:AD1"/>
    <mergeCell ref="B2:AD2"/>
    <mergeCell ref="AD3:AD4"/>
  </mergeCells>
  <pageMargins left="0.7" right="0.7" top="0.75" bottom="0.75" header="0.3" footer="0.3"/>
  <pageSetup scale="2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F94F-32D9-455E-B2DD-0AC76F5621B4}">
  <sheetPr>
    <pageSetUpPr fitToPage="1"/>
  </sheetPr>
  <dimension ref="A1:AC76"/>
  <sheetViews>
    <sheetView topLeftCell="A40" zoomScale="85" zoomScaleNormal="85" zoomScaleSheetLayoutView="70" workbookViewId="0">
      <selection activeCell="A30" sqref="A30:XFD30"/>
    </sheetView>
  </sheetViews>
  <sheetFormatPr defaultColWidth="9.85546875" defaultRowHeight="15" x14ac:dyDescent="0.25"/>
  <cols>
    <col min="1" max="1" width="18" customWidth="1"/>
    <col min="2" max="2" width="36.85546875" customWidth="1"/>
    <col min="3" max="3" width="16.7109375" bestFit="1" customWidth="1"/>
    <col min="4" max="4" width="15.42578125" bestFit="1" customWidth="1"/>
    <col min="5" max="6" width="15.42578125" hidden="1" customWidth="1"/>
    <col min="7" max="22" width="11.7109375" hidden="1" customWidth="1"/>
    <col min="23" max="23" width="11.7109375" bestFit="1" customWidth="1"/>
    <col min="24" max="24" width="14.85546875" hidden="1" customWidth="1"/>
    <col min="25" max="25" width="14.5703125" customWidth="1"/>
    <col min="26" max="26" width="13.28515625" hidden="1" customWidth="1"/>
    <col min="27" max="28" width="10.5703125" hidden="1" customWidth="1"/>
    <col min="29" max="29" width="13.28515625" bestFit="1" customWidth="1"/>
  </cols>
  <sheetData>
    <row r="1" spans="1:29" x14ac:dyDescent="0.25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</row>
    <row r="2" spans="1:29" x14ac:dyDescent="0.25">
      <c r="A2" s="116">
        <v>46113</v>
      </c>
      <c r="B2" s="254" t="s">
        <v>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</row>
    <row r="3" spans="1:2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14"/>
      <c r="X3" s="114"/>
      <c r="Y3" s="114" t="s">
        <v>256</v>
      </c>
      <c r="Z3" s="114"/>
      <c r="AA3" s="256" t="s">
        <v>3</v>
      </c>
      <c r="AB3" s="256"/>
      <c r="AC3" s="255" t="s">
        <v>4</v>
      </c>
    </row>
    <row r="4" spans="1:29" x14ac:dyDescent="0.25">
      <c r="A4" s="2" t="s">
        <v>5</v>
      </c>
      <c r="B4" s="2" t="s">
        <v>6</v>
      </c>
      <c r="C4" s="2" t="s">
        <v>7</v>
      </c>
      <c r="D4" s="2" t="s">
        <v>8</v>
      </c>
      <c r="E4" s="73">
        <v>46026</v>
      </c>
      <c r="F4" s="73">
        <v>46057</v>
      </c>
      <c r="G4" s="73">
        <v>46085</v>
      </c>
      <c r="H4" s="73">
        <v>46116</v>
      </c>
      <c r="I4" s="73">
        <v>46146</v>
      </c>
      <c r="J4" s="73">
        <v>46177</v>
      </c>
      <c r="K4" s="73">
        <v>46207</v>
      </c>
      <c r="L4" s="73">
        <v>46269</v>
      </c>
      <c r="M4" s="73">
        <v>46299</v>
      </c>
      <c r="N4" s="73">
        <v>46360</v>
      </c>
      <c r="O4" s="73" t="s">
        <v>246</v>
      </c>
      <c r="P4" s="73" t="s">
        <v>247</v>
      </c>
      <c r="Q4" s="73" t="s">
        <v>248</v>
      </c>
      <c r="R4" s="73" t="s">
        <v>249</v>
      </c>
      <c r="S4" s="73" t="s">
        <v>250</v>
      </c>
      <c r="T4" s="73" t="s">
        <v>251</v>
      </c>
      <c r="U4" s="73" t="s">
        <v>252</v>
      </c>
      <c r="V4" s="73" t="s">
        <v>253</v>
      </c>
      <c r="W4" s="90" t="s">
        <v>9</v>
      </c>
      <c r="X4" s="8" t="s">
        <v>10</v>
      </c>
      <c r="Y4" s="8" t="s">
        <v>11</v>
      </c>
      <c r="Z4" s="8" t="s">
        <v>12</v>
      </c>
      <c r="AA4" s="10" t="s">
        <v>13</v>
      </c>
      <c r="AB4" s="113" t="s">
        <v>255</v>
      </c>
      <c r="AC4" s="255"/>
    </row>
    <row r="5" spans="1:29" x14ac:dyDescent="0.25">
      <c r="A5" s="120" t="s">
        <v>14</v>
      </c>
      <c r="B5" s="12" t="s">
        <v>15</v>
      </c>
      <c r="C5" s="12" t="s">
        <v>16</v>
      </c>
      <c r="D5" s="13">
        <v>2050766384</v>
      </c>
      <c r="E5" s="14">
        <v>1000</v>
      </c>
      <c r="F5" s="14">
        <v>1000</v>
      </c>
      <c r="G5" s="14"/>
      <c r="H5" s="14">
        <v>1000</v>
      </c>
      <c r="I5" s="14"/>
      <c r="J5" s="14">
        <v>1000</v>
      </c>
      <c r="K5" s="14">
        <v>1000</v>
      </c>
      <c r="L5" s="14"/>
      <c r="M5" s="14"/>
      <c r="N5" s="14"/>
      <c r="O5" s="14">
        <v>1000</v>
      </c>
      <c r="P5" s="14">
        <v>1000</v>
      </c>
      <c r="Q5" s="14">
        <v>1000</v>
      </c>
      <c r="R5" s="14"/>
      <c r="S5" s="14"/>
      <c r="T5" s="14"/>
      <c r="U5" s="14"/>
      <c r="V5" s="14">
        <v>1000</v>
      </c>
      <c r="W5" s="16">
        <f t="shared" ref="W5:W49" si="0">SUM(E5:V5)</f>
        <v>9000</v>
      </c>
      <c r="X5" s="14">
        <v>28000</v>
      </c>
      <c r="Y5" s="14">
        <v>2550</v>
      </c>
      <c r="Z5" s="8">
        <f>W5+X5+Y5</f>
        <v>39550</v>
      </c>
      <c r="AA5" s="17"/>
      <c r="AB5" s="115">
        <v>1030</v>
      </c>
      <c r="AC5" s="18">
        <f>Z5-AA5-AB5</f>
        <v>38520</v>
      </c>
    </row>
    <row r="6" spans="1:29" x14ac:dyDescent="0.25">
      <c r="A6" s="133" t="s">
        <v>17</v>
      </c>
      <c r="B6" s="12" t="s">
        <v>18</v>
      </c>
      <c r="C6" s="12" t="s">
        <v>19</v>
      </c>
      <c r="D6" s="13" t="s">
        <v>20</v>
      </c>
      <c r="E6" s="131"/>
      <c r="F6" s="131"/>
      <c r="G6" s="131">
        <v>1000</v>
      </c>
      <c r="H6" s="131"/>
      <c r="I6" s="131">
        <v>1000</v>
      </c>
      <c r="J6" s="131">
        <v>1000</v>
      </c>
      <c r="K6" s="131"/>
      <c r="L6" s="131"/>
      <c r="M6" s="131"/>
      <c r="N6" s="131">
        <v>1000</v>
      </c>
      <c r="O6" s="131"/>
      <c r="P6" s="131"/>
      <c r="Q6" s="131"/>
      <c r="R6" s="131">
        <v>1000</v>
      </c>
      <c r="S6" s="131"/>
      <c r="T6" s="131"/>
      <c r="U6" s="131"/>
      <c r="V6" s="131"/>
      <c r="W6" s="131">
        <f t="shared" si="0"/>
        <v>5000</v>
      </c>
      <c r="X6" s="131">
        <v>25000</v>
      </c>
      <c r="Y6" s="131">
        <v>4500</v>
      </c>
      <c r="Z6" s="100">
        <f t="shared" ref="Z6:Z49" si="1">W6+X6+Y6</f>
        <v>34500</v>
      </c>
      <c r="AA6" s="17"/>
      <c r="AB6" s="17"/>
      <c r="AC6" s="18">
        <f t="shared" ref="AC6:AC49" si="2">Z6-AA6-AB6</f>
        <v>34500</v>
      </c>
    </row>
    <row r="7" spans="1:29" x14ac:dyDescent="0.25">
      <c r="A7" s="11" t="s">
        <v>21</v>
      </c>
      <c r="B7" s="12" t="s">
        <v>22</v>
      </c>
      <c r="C7" s="12" t="s">
        <v>23</v>
      </c>
      <c r="D7" s="13" t="s">
        <v>24</v>
      </c>
      <c r="E7" s="14"/>
      <c r="F7" s="14">
        <v>1000</v>
      </c>
      <c r="G7" s="14">
        <v>500</v>
      </c>
      <c r="H7" s="14"/>
      <c r="I7" s="14"/>
      <c r="J7" s="14">
        <v>1000</v>
      </c>
      <c r="K7" s="14"/>
      <c r="L7" s="14"/>
      <c r="M7" s="14"/>
      <c r="N7" s="14"/>
      <c r="O7" s="14">
        <v>1000</v>
      </c>
      <c r="P7" s="14">
        <v>1000</v>
      </c>
      <c r="Q7" s="14"/>
      <c r="R7" s="14"/>
      <c r="S7" s="14"/>
      <c r="T7" s="14"/>
      <c r="U7" s="14"/>
      <c r="V7" s="14"/>
      <c r="W7" s="16">
        <f t="shared" si="0"/>
        <v>4500</v>
      </c>
      <c r="X7" s="14">
        <v>20000</v>
      </c>
      <c r="Y7" s="14">
        <v>4350</v>
      </c>
      <c r="Z7" s="8">
        <f t="shared" si="1"/>
        <v>28850</v>
      </c>
      <c r="AA7" s="19"/>
      <c r="AB7" s="19"/>
      <c r="AC7" s="18">
        <f t="shared" si="2"/>
        <v>28850</v>
      </c>
    </row>
    <row r="8" spans="1:29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14"/>
      <c r="F8" s="14"/>
      <c r="G8" s="14">
        <v>500</v>
      </c>
      <c r="H8" s="14"/>
      <c r="I8" s="14"/>
      <c r="J8" s="14">
        <v>500</v>
      </c>
      <c r="K8" s="14"/>
      <c r="L8" s="14"/>
      <c r="M8" s="14"/>
      <c r="N8" s="14"/>
      <c r="O8" s="14"/>
      <c r="P8" s="14"/>
      <c r="Q8" s="14"/>
      <c r="R8" s="14"/>
      <c r="S8" s="14">
        <v>500</v>
      </c>
      <c r="T8" s="14"/>
      <c r="U8" s="14"/>
      <c r="V8" s="14"/>
      <c r="W8" s="16">
        <f t="shared" si="0"/>
        <v>1500</v>
      </c>
      <c r="X8" s="14">
        <v>9000</v>
      </c>
      <c r="Y8" s="14"/>
      <c r="Z8" s="8">
        <f t="shared" si="1"/>
        <v>10500</v>
      </c>
      <c r="AA8" s="19"/>
      <c r="AB8" s="19"/>
      <c r="AC8" s="18">
        <f t="shared" si="2"/>
        <v>10500</v>
      </c>
    </row>
    <row r="9" spans="1:29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14">
        <v>500</v>
      </c>
      <c r="F9" s="14"/>
      <c r="G9" s="14"/>
      <c r="H9" s="14">
        <v>1000</v>
      </c>
      <c r="I9" s="14"/>
      <c r="J9" s="14"/>
      <c r="K9" s="14"/>
      <c r="L9" s="14"/>
      <c r="M9" s="14"/>
      <c r="N9" s="14"/>
      <c r="O9" s="14">
        <v>1000</v>
      </c>
      <c r="P9" s="14">
        <v>500</v>
      </c>
      <c r="Q9" s="14"/>
      <c r="R9" s="14"/>
      <c r="S9" s="14"/>
      <c r="T9" s="14"/>
      <c r="U9" s="14"/>
      <c r="V9" s="14"/>
      <c r="W9" s="16">
        <f t="shared" si="0"/>
        <v>3000</v>
      </c>
      <c r="X9" s="14">
        <v>30000</v>
      </c>
      <c r="Y9" s="14">
        <f>60000+30700</f>
        <v>90700</v>
      </c>
      <c r="Z9" s="8">
        <f t="shared" si="1"/>
        <v>123700</v>
      </c>
      <c r="AA9" s="19"/>
      <c r="AB9" s="19"/>
      <c r="AC9" s="18">
        <f t="shared" si="2"/>
        <v>123700</v>
      </c>
    </row>
    <row r="10" spans="1:29" x14ac:dyDescent="0.25">
      <c r="A10" s="11" t="s">
        <v>32</v>
      </c>
      <c r="B10" s="20" t="s">
        <v>33</v>
      </c>
      <c r="C10" s="12" t="s">
        <v>34</v>
      </c>
      <c r="D10" s="13" t="s">
        <v>35</v>
      </c>
      <c r="E10" s="14"/>
      <c r="F10" s="14">
        <v>500</v>
      </c>
      <c r="G10" s="14"/>
      <c r="H10" s="14"/>
      <c r="I10" s="14"/>
      <c r="J10" s="14"/>
      <c r="K10" s="14"/>
      <c r="L10" s="14"/>
      <c r="M10" s="14"/>
      <c r="N10" s="14"/>
      <c r="O10" s="14">
        <v>500</v>
      </c>
      <c r="P10" s="14">
        <v>1000</v>
      </c>
      <c r="Q10" s="14"/>
      <c r="R10" s="14"/>
      <c r="S10" s="14"/>
      <c r="T10" s="14"/>
      <c r="U10" s="14"/>
      <c r="V10" s="14"/>
      <c r="W10" s="16">
        <f t="shared" si="0"/>
        <v>2000</v>
      </c>
      <c r="X10" s="14">
        <v>20000</v>
      </c>
      <c r="Y10" s="14">
        <v>4500</v>
      </c>
      <c r="Z10" s="8">
        <f t="shared" si="1"/>
        <v>26500</v>
      </c>
      <c r="AA10" s="19">
        <v>820</v>
      </c>
      <c r="AB10" s="19"/>
      <c r="AC10" s="18">
        <f t="shared" si="2"/>
        <v>25680</v>
      </c>
    </row>
    <row r="11" spans="1:29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14"/>
      <c r="F11" s="14"/>
      <c r="G11" s="14"/>
      <c r="H11" s="14">
        <v>1000</v>
      </c>
      <c r="I11" s="14"/>
      <c r="J11" s="14"/>
      <c r="K11" s="14"/>
      <c r="L11" s="14"/>
      <c r="M11" s="14"/>
      <c r="N11" s="14"/>
      <c r="O11" s="14">
        <v>1000</v>
      </c>
      <c r="P11" s="14">
        <v>1000</v>
      </c>
      <c r="Q11" s="14"/>
      <c r="R11" s="14"/>
      <c r="S11" s="14"/>
      <c r="T11" s="14"/>
      <c r="U11" s="14"/>
      <c r="V11" s="14">
        <v>1000</v>
      </c>
      <c r="W11" s="16">
        <f t="shared" si="0"/>
        <v>4000</v>
      </c>
      <c r="X11" s="14">
        <v>50000</v>
      </c>
      <c r="Y11" s="14">
        <f>410+3750</f>
        <v>4160</v>
      </c>
      <c r="Z11" s="8">
        <f t="shared" si="1"/>
        <v>58160</v>
      </c>
      <c r="AA11" s="19"/>
      <c r="AB11" s="112">
        <v>500</v>
      </c>
      <c r="AC11" s="18">
        <f t="shared" si="2"/>
        <v>57660</v>
      </c>
    </row>
    <row r="12" spans="1:29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14"/>
      <c r="F12" s="14"/>
      <c r="G12" s="14"/>
      <c r="H12" s="14"/>
      <c r="I12" s="14"/>
      <c r="J12" s="14">
        <v>1000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6">
        <f t="shared" si="0"/>
        <v>1000</v>
      </c>
      <c r="X12" s="14">
        <v>7500</v>
      </c>
      <c r="Y12" s="14">
        <v>1200</v>
      </c>
      <c r="Z12" s="8">
        <f t="shared" si="1"/>
        <v>9700</v>
      </c>
      <c r="AA12" s="19"/>
      <c r="AB12" s="19"/>
      <c r="AC12" s="18">
        <f t="shared" si="2"/>
        <v>9700</v>
      </c>
    </row>
    <row r="13" spans="1:29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14"/>
      <c r="F13" s="14">
        <v>500</v>
      </c>
      <c r="G13" s="14">
        <v>500</v>
      </c>
      <c r="H13" s="14"/>
      <c r="I13" s="14"/>
      <c r="J13" s="14"/>
      <c r="K13" s="14">
        <v>500</v>
      </c>
      <c r="L13" s="14"/>
      <c r="M13" s="14">
        <v>500</v>
      </c>
      <c r="N13" s="14">
        <v>1000</v>
      </c>
      <c r="O13" s="14"/>
      <c r="P13" s="14"/>
      <c r="Q13" s="14"/>
      <c r="R13" s="14"/>
      <c r="S13" s="14">
        <v>500</v>
      </c>
      <c r="T13" s="14"/>
      <c r="U13" s="14"/>
      <c r="V13" s="14"/>
      <c r="W13" s="16">
        <f t="shared" si="0"/>
        <v>3500</v>
      </c>
      <c r="X13" s="14">
        <v>30000</v>
      </c>
      <c r="Y13" s="14">
        <v>5150</v>
      </c>
      <c r="Z13" s="8">
        <f t="shared" si="1"/>
        <v>38650</v>
      </c>
      <c r="AA13" s="19">
        <f>1530+500</f>
        <v>2030</v>
      </c>
      <c r="AB13" s="112">
        <v>1030</v>
      </c>
      <c r="AC13" s="18">
        <f t="shared" si="2"/>
        <v>35590</v>
      </c>
    </row>
    <row r="14" spans="1:29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14">
        <v>1000</v>
      </c>
      <c r="F14" s="14">
        <v>1000</v>
      </c>
      <c r="G14" s="14"/>
      <c r="H14" s="14"/>
      <c r="I14" s="14"/>
      <c r="J14" s="14"/>
      <c r="K14" s="14"/>
      <c r="L14" s="14">
        <v>1000</v>
      </c>
      <c r="M14" s="14">
        <v>1000</v>
      </c>
      <c r="N14" s="14"/>
      <c r="O14" s="14">
        <v>1000</v>
      </c>
      <c r="P14" s="14">
        <v>1000</v>
      </c>
      <c r="Q14" s="14"/>
      <c r="R14" s="14"/>
      <c r="S14" s="14"/>
      <c r="T14" s="14"/>
      <c r="U14" s="14">
        <v>1000</v>
      </c>
      <c r="V14" s="14">
        <v>1000</v>
      </c>
      <c r="W14" s="16">
        <f t="shared" si="0"/>
        <v>8000</v>
      </c>
      <c r="X14" s="14">
        <v>60000</v>
      </c>
      <c r="Y14" s="14">
        <v>3400</v>
      </c>
      <c r="Z14" s="8">
        <f t="shared" si="1"/>
        <v>71400</v>
      </c>
      <c r="AA14" s="19"/>
      <c r="AB14" s="112">
        <v>1030</v>
      </c>
      <c r="AC14" s="18">
        <f t="shared" si="2"/>
        <v>70370</v>
      </c>
    </row>
    <row r="15" spans="1:29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14">
        <v>1000</v>
      </c>
      <c r="F15" s="14">
        <v>1000</v>
      </c>
      <c r="G15" s="14"/>
      <c r="H15" s="14">
        <v>1000</v>
      </c>
      <c r="I15" s="14"/>
      <c r="J15" s="14">
        <v>1000</v>
      </c>
      <c r="K15" s="14">
        <v>1000</v>
      </c>
      <c r="L15" s="14"/>
      <c r="M15" s="14"/>
      <c r="N15" s="14"/>
      <c r="O15" s="14">
        <v>1000</v>
      </c>
      <c r="P15" s="14">
        <v>1000</v>
      </c>
      <c r="Q15" s="14">
        <v>1000</v>
      </c>
      <c r="R15" s="14"/>
      <c r="S15" s="14"/>
      <c r="T15" s="14"/>
      <c r="U15" s="14"/>
      <c r="V15" s="14">
        <v>1000</v>
      </c>
      <c r="W15" s="16">
        <f t="shared" si="0"/>
        <v>9000</v>
      </c>
      <c r="X15" s="14">
        <v>20000</v>
      </c>
      <c r="Y15" s="14">
        <v>2550</v>
      </c>
      <c r="Z15" s="8">
        <f t="shared" si="1"/>
        <v>31550</v>
      </c>
      <c r="AA15" s="19">
        <v>2180</v>
      </c>
      <c r="AB15" s="19"/>
      <c r="AC15" s="18">
        <f t="shared" si="2"/>
        <v>29370</v>
      </c>
    </row>
    <row r="16" spans="1:29" x14ac:dyDescent="0.25">
      <c r="A16" s="11" t="s">
        <v>51</v>
      </c>
      <c r="B16" s="12" t="s">
        <v>52</v>
      </c>
      <c r="C16" s="12" t="s">
        <v>34</v>
      </c>
      <c r="D16" s="13" t="s">
        <v>53</v>
      </c>
      <c r="E16" s="14">
        <v>1000</v>
      </c>
      <c r="F16" s="14"/>
      <c r="G16" s="14"/>
      <c r="H16" s="14">
        <v>1000</v>
      </c>
      <c r="I16" s="14"/>
      <c r="J16" s="14"/>
      <c r="K16" s="14">
        <v>1000</v>
      </c>
      <c r="L16" s="14"/>
      <c r="M16" s="14"/>
      <c r="N16" s="14"/>
      <c r="O16" s="14"/>
      <c r="P16" s="14">
        <v>1000</v>
      </c>
      <c r="Q16" s="14"/>
      <c r="R16" s="14"/>
      <c r="S16" s="14"/>
      <c r="T16" s="14"/>
      <c r="U16" s="14"/>
      <c r="V16" s="14">
        <v>1000</v>
      </c>
      <c r="W16" s="16">
        <f t="shared" si="0"/>
        <v>5000</v>
      </c>
      <c r="X16" s="14">
        <v>20000</v>
      </c>
      <c r="Y16" s="14">
        <v>2600</v>
      </c>
      <c r="Z16" s="8">
        <f t="shared" si="1"/>
        <v>27600</v>
      </c>
      <c r="AA16" s="19">
        <v>1345</v>
      </c>
      <c r="AB16" s="112">
        <v>600</v>
      </c>
      <c r="AC16" s="18">
        <f t="shared" si="2"/>
        <v>25655</v>
      </c>
    </row>
    <row r="17" spans="1:29" x14ac:dyDescent="0.25">
      <c r="A17" s="11" t="s">
        <v>54</v>
      </c>
      <c r="B17" s="12" t="s">
        <v>199</v>
      </c>
      <c r="C17" s="64" t="s">
        <v>19</v>
      </c>
      <c r="D17" s="13" t="s">
        <v>200</v>
      </c>
      <c r="E17" s="14">
        <v>500</v>
      </c>
      <c r="F17" s="14">
        <v>500</v>
      </c>
      <c r="G17" s="14">
        <v>1000</v>
      </c>
      <c r="H17" s="14"/>
      <c r="I17" s="14"/>
      <c r="J17" s="14">
        <v>1000</v>
      </c>
      <c r="K17" s="14"/>
      <c r="L17" s="14"/>
      <c r="M17" s="14"/>
      <c r="N17" s="14"/>
      <c r="O17" s="14"/>
      <c r="P17" s="14"/>
      <c r="Q17" s="14"/>
      <c r="R17" s="14"/>
      <c r="S17" s="14">
        <v>500</v>
      </c>
      <c r="T17" s="14"/>
      <c r="U17" s="14"/>
      <c r="V17" s="14"/>
      <c r="W17" s="16">
        <f t="shared" si="0"/>
        <v>3500</v>
      </c>
      <c r="X17" s="14">
        <v>18000</v>
      </c>
      <c r="Y17" s="14">
        <v>4500</v>
      </c>
      <c r="Z17" s="8">
        <f t="shared" si="1"/>
        <v>26000</v>
      </c>
      <c r="AA17" s="19"/>
      <c r="AB17" s="19"/>
      <c r="AC17" s="18">
        <f t="shared" si="2"/>
        <v>26000</v>
      </c>
    </row>
    <row r="18" spans="1:29" x14ac:dyDescent="0.25">
      <c r="A18" s="11" t="s">
        <v>58</v>
      </c>
      <c r="B18" s="12" t="s">
        <v>59</v>
      </c>
      <c r="C18" s="12" t="s">
        <v>34</v>
      </c>
      <c r="D18" s="13" t="s">
        <v>60</v>
      </c>
      <c r="E18" s="14"/>
      <c r="F18" s="14"/>
      <c r="G18" s="14">
        <v>1000</v>
      </c>
      <c r="H18" s="14"/>
      <c r="I18" s="14"/>
      <c r="J18" s="14">
        <v>1000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6">
        <f t="shared" si="0"/>
        <v>2000</v>
      </c>
      <c r="X18" s="14">
        <v>35000</v>
      </c>
      <c r="Y18" s="14">
        <v>1000</v>
      </c>
      <c r="Z18" s="8">
        <f t="shared" si="1"/>
        <v>38000</v>
      </c>
      <c r="AA18" s="19"/>
      <c r="AB18" s="19"/>
      <c r="AC18" s="18">
        <f t="shared" si="2"/>
        <v>38000</v>
      </c>
    </row>
    <row r="19" spans="1:29" x14ac:dyDescent="0.25">
      <c r="A19" s="11" t="s">
        <v>61</v>
      </c>
      <c r="B19" s="12" t="s">
        <v>62</v>
      </c>
      <c r="C19" s="13" t="s">
        <v>19</v>
      </c>
      <c r="D19" s="13" t="s">
        <v>63</v>
      </c>
      <c r="E19" s="14"/>
      <c r="F19" s="14"/>
      <c r="G19" s="14">
        <v>1000</v>
      </c>
      <c r="H19" s="14"/>
      <c r="I19" s="14"/>
      <c r="J19" s="14">
        <v>1000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6">
        <f t="shared" si="0"/>
        <v>2000</v>
      </c>
      <c r="X19" s="14">
        <v>20000</v>
      </c>
      <c r="Y19" s="14">
        <v>5000</v>
      </c>
      <c r="Z19" s="8">
        <f t="shared" si="1"/>
        <v>27000</v>
      </c>
      <c r="AA19" s="19"/>
      <c r="AB19" s="19"/>
      <c r="AC19" s="18">
        <f t="shared" si="2"/>
        <v>27000</v>
      </c>
    </row>
    <row r="20" spans="1:29" x14ac:dyDescent="0.25">
      <c r="A20" s="11" t="s">
        <v>64</v>
      </c>
      <c r="B20" s="12" t="s">
        <v>65</v>
      </c>
      <c r="C20" s="12" t="s">
        <v>19</v>
      </c>
      <c r="D20" s="13" t="s">
        <v>66</v>
      </c>
      <c r="E20" s="14"/>
      <c r="F20" s="14"/>
      <c r="G20" s="14">
        <v>1000</v>
      </c>
      <c r="H20" s="14"/>
      <c r="I20" s="14"/>
      <c r="J20" s="14">
        <v>1000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6">
        <f t="shared" si="0"/>
        <v>2000</v>
      </c>
      <c r="X20" s="14">
        <v>20000</v>
      </c>
      <c r="Y20" s="14">
        <v>4500</v>
      </c>
      <c r="Z20" s="8">
        <f t="shared" si="1"/>
        <v>26500</v>
      </c>
      <c r="AA20" s="19">
        <v>5000</v>
      </c>
      <c r="AB20" s="19"/>
      <c r="AC20" s="18">
        <f t="shared" si="2"/>
        <v>21500</v>
      </c>
    </row>
    <row r="21" spans="1:29" x14ac:dyDescent="0.25">
      <c r="A21" s="11" t="s">
        <v>67</v>
      </c>
      <c r="B21" s="12" t="s">
        <v>68</v>
      </c>
      <c r="C21" s="12" t="s">
        <v>34</v>
      </c>
      <c r="D21" s="13" t="s">
        <v>69</v>
      </c>
      <c r="E21" s="14"/>
      <c r="F21" s="14"/>
      <c r="G21" s="14">
        <v>1000</v>
      </c>
      <c r="H21" s="14"/>
      <c r="I21" s="14"/>
      <c r="J21" s="14">
        <v>1000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>
        <v>1000</v>
      </c>
      <c r="W21" s="16">
        <f t="shared" si="0"/>
        <v>3000</v>
      </c>
      <c r="X21" s="14">
        <v>20000</v>
      </c>
      <c r="Y21" s="14">
        <v>5000</v>
      </c>
      <c r="Z21" s="8">
        <f t="shared" si="1"/>
        <v>28000</v>
      </c>
      <c r="AA21" s="19"/>
      <c r="AB21" s="112">
        <v>600</v>
      </c>
      <c r="AC21" s="18">
        <f>Z21-AA21-AB21</f>
        <v>27400</v>
      </c>
    </row>
    <row r="22" spans="1:29" x14ac:dyDescent="0.25">
      <c r="A22" s="11" t="s">
        <v>70</v>
      </c>
      <c r="B22" s="20" t="s">
        <v>71</v>
      </c>
      <c r="C22" s="12" t="s">
        <v>34</v>
      </c>
      <c r="D22" s="13" t="s">
        <v>72</v>
      </c>
      <c r="E22" s="14"/>
      <c r="F22" s="14"/>
      <c r="G22" s="14">
        <v>1000</v>
      </c>
      <c r="H22" s="14"/>
      <c r="I22" s="14"/>
      <c r="J22" s="14">
        <v>1000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6">
        <f t="shared" si="0"/>
        <v>2000</v>
      </c>
      <c r="X22" s="14">
        <v>29000</v>
      </c>
      <c r="Y22" s="14">
        <v>4500</v>
      </c>
      <c r="Z22" s="8">
        <f t="shared" si="1"/>
        <v>35500</v>
      </c>
      <c r="AA22" s="19">
        <v>320</v>
      </c>
      <c r="AB22" s="19"/>
      <c r="AC22" s="18">
        <f t="shared" si="2"/>
        <v>35180</v>
      </c>
    </row>
    <row r="23" spans="1:29" x14ac:dyDescent="0.25">
      <c r="A23" s="11" t="s">
        <v>73</v>
      </c>
      <c r="B23" s="12" t="s">
        <v>74</v>
      </c>
      <c r="C23" s="12" t="s">
        <v>19</v>
      </c>
      <c r="D23" s="13" t="s">
        <v>75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6">
        <f t="shared" si="0"/>
        <v>0</v>
      </c>
      <c r="X23" s="14">
        <v>10000</v>
      </c>
      <c r="Y23" s="14"/>
      <c r="Z23" s="8">
        <f t="shared" si="1"/>
        <v>10000</v>
      </c>
      <c r="AA23" s="19"/>
      <c r="AB23" s="19"/>
      <c r="AC23" s="18">
        <f t="shared" si="2"/>
        <v>10000</v>
      </c>
    </row>
    <row r="24" spans="1:29" x14ac:dyDescent="0.25">
      <c r="A24" s="11" t="s">
        <v>76</v>
      </c>
      <c r="B24" s="12" t="s">
        <v>77</v>
      </c>
      <c r="C24" s="12" t="s">
        <v>78</v>
      </c>
      <c r="D24" s="13" t="s">
        <v>79</v>
      </c>
      <c r="E24" s="14"/>
      <c r="F24" s="14"/>
      <c r="G24" s="14">
        <v>1000</v>
      </c>
      <c r="H24" s="14"/>
      <c r="I24" s="14"/>
      <c r="J24" s="14">
        <v>1000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6">
        <f t="shared" si="0"/>
        <v>2000</v>
      </c>
      <c r="X24" s="14">
        <v>50000</v>
      </c>
      <c r="Y24" s="14">
        <v>10500</v>
      </c>
      <c r="Z24" s="8">
        <f t="shared" si="1"/>
        <v>62500</v>
      </c>
      <c r="AA24" s="19"/>
      <c r="AB24" s="112">
        <v>1031.25</v>
      </c>
      <c r="AC24" s="18">
        <f t="shared" si="2"/>
        <v>61468.75</v>
      </c>
    </row>
    <row r="25" spans="1:29" x14ac:dyDescent="0.25">
      <c r="A25" s="11" t="s">
        <v>80</v>
      </c>
      <c r="B25" s="20" t="s">
        <v>81</v>
      </c>
      <c r="C25" s="12" t="s">
        <v>27</v>
      </c>
      <c r="D25" s="13" t="s">
        <v>82</v>
      </c>
      <c r="E25" s="14">
        <v>1000</v>
      </c>
      <c r="F25" s="14">
        <v>1000</v>
      </c>
      <c r="G25" s="14"/>
      <c r="H25" s="14">
        <v>1000</v>
      </c>
      <c r="I25" s="14"/>
      <c r="J25" s="14"/>
      <c r="K25" s="14">
        <v>1000</v>
      </c>
      <c r="L25" s="14"/>
      <c r="M25" s="14"/>
      <c r="N25" s="14"/>
      <c r="O25" s="14">
        <v>1000</v>
      </c>
      <c r="P25" s="14">
        <v>1000</v>
      </c>
      <c r="Q25" s="14">
        <v>1000</v>
      </c>
      <c r="R25" s="14"/>
      <c r="S25" s="14"/>
      <c r="T25" s="14"/>
      <c r="U25" s="14"/>
      <c r="V25" s="14">
        <v>1000</v>
      </c>
      <c r="W25" s="16">
        <f t="shared" si="0"/>
        <v>8000</v>
      </c>
      <c r="X25" s="14">
        <v>20000</v>
      </c>
      <c r="Y25" s="14">
        <v>1700</v>
      </c>
      <c r="Z25" s="8">
        <f t="shared" si="1"/>
        <v>29700</v>
      </c>
      <c r="AA25" s="19">
        <v>1420</v>
      </c>
      <c r="AB25" s="19"/>
      <c r="AC25" s="18">
        <f t="shared" si="2"/>
        <v>28280</v>
      </c>
    </row>
    <row r="26" spans="1:29" x14ac:dyDescent="0.25">
      <c r="A26" s="11" t="s">
        <v>83</v>
      </c>
      <c r="B26" s="20" t="s">
        <v>84</v>
      </c>
      <c r="C26" s="12" t="s">
        <v>34</v>
      </c>
      <c r="D26" s="13" t="s">
        <v>85</v>
      </c>
      <c r="E26" s="14">
        <v>1000</v>
      </c>
      <c r="F26" s="14">
        <v>1000</v>
      </c>
      <c r="G26" s="14"/>
      <c r="H26" s="14">
        <v>1000</v>
      </c>
      <c r="I26" s="14"/>
      <c r="J26" s="14"/>
      <c r="K26" s="14">
        <v>1000</v>
      </c>
      <c r="L26" s="14"/>
      <c r="M26" s="14"/>
      <c r="N26" s="14"/>
      <c r="O26" s="14">
        <v>1000</v>
      </c>
      <c r="P26" s="14">
        <v>1000</v>
      </c>
      <c r="Q26" s="14">
        <v>1000</v>
      </c>
      <c r="R26" s="14"/>
      <c r="S26" s="14"/>
      <c r="T26" s="14"/>
      <c r="U26" s="14"/>
      <c r="V26" s="14">
        <v>1000</v>
      </c>
      <c r="W26" s="16">
        <f t="shared" si="0"/>
        <v>8000</v>
      </c>
      <c r="X26" s="14">
        <v>20000</v>
      </c>
      <c r="Y26" s="14">
        <v>1700</v>
      </c>
      <c r="Z26" s="8">
        <f t="shared" si="1"/>
        <v>29700</v>
      </c>
      <c r="AA26" s="19">
        <v>2190</v>
      </c>
      <c r="AB26" s="19"/>
      <c r="AC26" s="18">
        <f t="shared" si="2"/>
        <v>27510</v>
      </c>
    </row>
    <row r="27" spans="1:29" x14ac:dyDescent="0.25">
      <c r="A27" s="11" t="s">
        <v>86</v>
      </c>
      <c r="B27" s="12" t="s">
        <v>87</v>
      </c>
      <c r="C27" s="12" t="s">
        <v>34</v>
      </c>
      <c r="D27" s="13" t="s">
        <v>88</v>
      </c>
      <c r="E27" s="14"/>
      <c r="F27" s="14"/>
      <c r="G27" s="14">
        <v>500</v>
      </c>
      <c r="H27" s="14"/>
      <c r="I27" s="14"/>
      <c r="J27" s="14">
        <v>500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6">
        <f t="shared" si="0"/>
        <v>1000</v>
      </c>
      <c r="X27" s="14">
        <v>9000</v>
      </c>
      <c r="Y27" s="14"/>
      <c r="Z27" s="8">
        <f t="shared" si="1"/>
        <v>10000</v>
      </c>
      <c r="AA27" s="19"/>
      <c r="AB27" s="19"/>
      <c r="AC27" s="18">
        <f t="shared" si="2"/>
        <v>10000</v>
      </c>
    </row>
    <row r="28" spans="1:29" x14ac:dyDescent="0.25">
      <c r="A28" s="11" t="s">
        <v>89</v>
      </c>
      <c r="B28" s="12" t="s">
        <v>90</v>
      </c>
      <c r="C28" s="12" t="s">
        <v>56</v>
      </c>
      <c r="D28" s="13" t="s">
        <v>91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6">
        <f t="shared" si="0"/>
        <v>0</v>
      </c>
      <c r="X28" s="14">
        <v>7000</v>
      </c>
      <c r="Y28" s="14"/>
      <c r="Z28" s="8">
        <f t="shared" si="1"/>
        <v>7000</v>
      </c>
      <c r="AA28" s="19"/>
      <c r="AB28" s="19"/>
      <c r="AC28" s="18">
        <f t="shared" si="2"/>
        <v>7000</v>
      </c>
    </row>
    <row r="29" spans="1:29" x14ac:dyDescent="0.25">
      <c r="A29" s="133" t="s">
        <v>92</v>
      </c>
      <c r="B29" s="12" t="s">
        <v>93</v>
      </c>
      <c r="C29" s="12" t="s">
        <v>19</v>
      </c>
      <c r="D29" s="13" t="s">
        <v>94</v>
      </c>
      <c r="E29" s="131"/>
      <c r="F29" s="131"/>
      <c r="G29" s="131">
        <v>1000</v>
      </c>
      <c r="H29" s="131"/>
      <c r="I29" s="131"/>
      <c r="J29" s="131">
        <v>1000</v>
      </c>
      <c r="K29" s="131"/>
      <c r="L29" s="131"/>
      <c r="M29" s="131"/>
      <c r="N29" s="131">
        <v>1000</v>
      </c>
      <c r="O29" s="131"/>
      <c r="P29" s="131"/>
      <c r="Q29" s="131"/>
      <c r="R29" s="131"/>
      <c r="S29" s="131">
        <v>500</v>
      </c>
      <c r="T29" s="131">
        <v>1000</v>
      </c>
      <c r="U29" s="131">
        <v>1000</v>
      </c>
      <c r="V29" s="131"/>
      <c r="W29" s="131">
        <f t="shared" si="0"/>
        <v>5500</v>
      </c>
      <c r="X29" s="131">
        <v>20000</v>
      </c>
      <c r="Y29" s="131">
        <v>4500</v>
      </c>
      <c r="Z29" s="100">
        <f t="shared" si="1"/>
        <v>30000</v>
      </c>
      <c r="AA29" s="17">
        <f>800+2270</f>
        <v>3070</v>
      </c>
      <c r="AB29" s="17"/>
      <c r="AC29" s="18">
        <f t="shared" si="2"/>
        <v>26930</v>
      </c>
    </row>
    <row r="30" spans="1:29" x14ac:dyDescent="0.25">
      <c r="A30" s="11" t="s">
        <v>98</v>
      </c>
      <c r="B30" s="12" t="s">
        <v>99</v>
      </c>
      <c r="C30" s="12" t="s">
        <v>19</v>
      </c>
      <c r="D30" s="13" t="s">
        <v>100</v>
      </c>
      <c r="E30" s="14">
        <v>1000</v>
      </c>
      <c r="F30" s="14">
        <v>500</v>
      </c>
      <c r="G30" s="14">
        <v>1000</v>
      </c>
      <c r="H30" s="14">
        <v>1000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>
        <v>1000</v>
      </c>
      <c r="U30" s="14"/>
      <c r="V30" s="14"/>
      <c r="W30" s="16">
        <f t="shared" si="0"/>
        <v>4500</v>
      </c>
      <c r="X30" s="14">
        <v>18000</v>
      </c>
      <c r="Y30" s="14">
        <v>4500</v>
      </c>
      <c r="Z30" s="8">
        <f t="shared" si="1"/>
        <v>27000</v>
      </c>
      <c r="AA30" s="19"/>
      <c r="AB30" s="19"/>
      <c r="AC30" s="18">
        <f t="shared" si="2"/>
        <v>27000</v>
      </c>
    </row>
    <row r="31" spans="1:29" x14ac:dyDescent="0.25">
      <c r="A31" s="133" t="s">
        <v>101</v>
      </c>
      <c r="B31" s="12" t="s">
        <v>232</v>
      </c>
      <c r="C31" s="12" t="s">
        <v>34</v>
      </c>
      <c r="D31" s="13" t="s">
        <v>103</v>
      </c>
      <c r="E31" s="131"/>
      <c r="F31" s="131">
        <v>500</v>
      </c>
      <c r="G31" s="131">
        <v>1000</v>
      </c>
      <c r="H31" s="131">
        <v>1000</v>
      </c>
      <c r="I31" s="131"/>
      <c r="J31" s="131">
        <v>1000</v>
      </c>
      <c r="K31" s="131">
        <v>500</v>
      </c>
      <c r="L31" s="131">
        <v>500</v>
      </c>
      <c r="M31" s="131">
        <v>500</v>
      </c>
      <c r="N31" s="131">
        <v>1000</v>
      </c>
      <c r="O31" s="131">
        <v>500</v>
      </c>
      <c r="P31" s="131"/>
      <c r="Q31" s="131"/>
      <c r="R31" s="131">
        <v>1000</v>
      </c>
      <c r="S31" s="131">
        <v>500</v>
      </c>
      <c r="T31" s="131">
        <v>1000</v>
      </c>
      <c r="U31" s="131">
        <v>1000</v>
      </c>
      <c r="V31" s="131"/>
      <c r="W31" s="131">
        <f t="shared" si="0"/>
        <v>10000</v>
      </c>
      <c r="X31" s="131">
        <v>20000</v>
      </c>
      <c r="Y31" s="131">
        <v>3200</v>
      </c>
      <c r="Z31" s="100">
        <f t="shared" si="1"/>
        <v>33200</v>
      </c>
      <c r="AA31" s="17"/>
      <c r="AB31" s="17"/>
      <c r="AC31" s="18">
        <f t="shared" si="2"/>
        <v>33200</v>
      </c>
    </row>
    <row r="32" spans="1:29" x14ac:dyDescent="0.25">
      <c r="A32" s="11" t="s">
        <v>104</v>
      </c>
      <c r="B32" s="12" t="s">
        <v>105</v>
      </c>
      <c r="C32" s="12" t="s">
        <v>34</v>
      </c>
      <c r="D32" s="13" t="s">
        <v>106</v>
      </c>
      <c r="E32" s="14">
        <v>1000</v>
      </c>
      <c r="F32" s="14">
        <v>1000</v>
      </c>
      <c r="G32" s="14"/>
      <c r="H32" s="14"/>
      <c r="I32" s="14"/>
      <c r="J32" s="14"/>
      <c r="K32" s="14">
        <v>1000</v>
      </c>
      <c r="L32" s="14"/>
      <c r="M32" s="14"/>
      <c r="N32" s="14"/>
      <c r="O32" s="14">
        <v>1000</v>
      </c>
      <c r="P32" s="14">
        <v>1000</v>
      </c>
      <c r="Q32" s="14"/>
      <c r="R32" s="14"/>
      <c r="S32" s="14"/>
      <c r="T32" s="14"/>
      <c r="U32" s="14"/>
      <c r="V32" s="14">
        <v>1000</v>
      </c>
      <c r="W32" s="16">
        <f t="shared" si="0"/>
        <v>6000</v>
      </c>
      <c r="X32" s="14">
        <v>20000</v>
      </c>
      <c r="Y32" s="14">
        <v>2300</v>
      </c>
      <c r="Z32" s="8">
        <f t="shared" si="1"/>
        <v>28300</v>
      </c>
      <c r="AA32" s="19">
        <v>3825</v>
      </c>
      <c r="AB32" s="19"/>
      <c r="AC32" s="18">
        <f t="shared" si="2"/>
        <v>24475</v>
      </c>
    </row>
    <row r="33" spans="1:29" x14ac:dyDescent="0.25">
      <c r="A33" s="133" t="s">
        <v>107</v>
      </c>
      <c r="B33" s="12" t="s">
        <v>108</v>
      </c>
      <c r="C33" s="12" t="s">
        <v>19</v>
      </c>
      <c r="D33" s="13" t="s">
        <v>216</v>
      </c>
      <c r="E33" s="131"/>
      <c r="F33" s="131"/>
      <c r="G33" s="131">
        <v>1000</v>
      </c>
      <c r="H33" s="131"/>
      <c r="I33" s="131">
        <v>1000</v>
      </c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>
        <f t="shared" si="0"/>
        <v>2000</v>
      </c>
      <c r="X33" s="131">
        <v>20000</v>
      </c>
      <c r="Y33" s="131">
        <v>2700</v>
      </c>
      <c r="Z33" s="100">
        <f t="shared" si="1"/>
        <v>24700</v>
      </c>
      <c r="AA33" s="17"/>
      <c r="AB33" s="17"/>
      <c r="AC33" s="18">
        <f t="shared" si="2"/>
        <v>24700</v>
      </c>
    </row>
    <row r="34" spans="1:29" x14ac:dyDescent="0.25">
      <c r="A34" s="11" t="s">
        <v>110</v>
      </c>
      <c r="B34" s="12" t="s">
        <v>111</v>
      </c>
      <c r="C34" s="12" t="s">
        <v>19</v>
      </c>
      <c r="D34" s="13" t="s">
        <v>112</v>
      </c>
      <c r="E34" s="14">
        <v>1000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>
        <v>1000</v>
      </c>
      <c r="W34" s="16">
        <f t="shared" si="0"/>
        <v>2000</v>
      </c>
      <c r="X34" s="14">
        <v>30000</v>
      </c>
      <c r="Y34" s="14">
        <v>1400</v>
      </c>
      <c r="Z34" s="8">
        <f t="shared" si="1"/>
        <v>33400</v>
      </c>
      <c r="AA34" s="19">
        <f>1500+350</f>
        <v>1850</v>
      </c>
      <c r="AB34" s="19"/>
      <c r="AC34" s="18">
        <f t="shared" si="2"/>
        <v>31550</v>
      </c>
    </row>
    <row r="35" spans="1:29" x14ac:dyDescent="0.25">
      <c r="A35" s="11" t="s">
        <v>113</v>
      </c>
      <c r="B35" s="20" t="s">
        <v>114</v>
      </c>
      <c r="C35" s="12" t="s">
        <v>115</v>
      </c>
      <c r="D35" s="117" t="s">
        <v>254</v>
      </c>
      <c r="E35" s="105"/>
      <c r="F35" s="105">
        <v>1000</v>
      </c>
      <c r="G35" s="105"/>
      <c r="H35" s="105">
        <v>1000</v>
      </c>
      <c r="I35" s="105">
        <v>1000</v>
      </c>
      <c r="J35" s="105">
        <v>1000</v>
      </c>
      <c r="K35" s="105"/>
      <c r="L35" s="105"/>
      <c r="M35" s="105"/>
      <c r="N35" s="105">
        <v>1000</v>
      </c>
      <c r="O35" s="105"/>
      <c r="P35" s="105"/>
      <c r="Q35" s="105"/>
      <c r="R35" s="105"/>
      <c r="S35" s="105">
        <v>500</v>
      </c>
      <c r="T35" s="105"/>
      <c r="U35" s="105"/>
      <c r="V35" s="105"/>
      <c r="W35" s="16">
        <f t="shared" si="0"/>
        <v>5500</v>
      </c>
      <c r="X35" s="14">
        <v>30000</v>
      </c>
      <c r="Y35" s="14">
        <v>1800</v>
      </c>
      <c r="Z35" s="8">
        <f t="shared" si="1"/>
        <v>37300</v>
      </c>
      <c r="AA35" s="19"/>
      <c r="AB35" s="112">
        <v>1030</v>
      </c>
      <c r="AC35" s="18">
        <f t="shared" si="2"/>
        <v>36270</v>
      </c>
    </row>
    <row r="36" spans="1:29" x14ac:dyDescent="0.25">
      <c r="A36" s="133" t="s">
        <v>117</v>
      </c>
      <c r="B36" s="20" t="s">
        <v>118</v>
      </c>
      <c r="C36" s="12" t="s">
        <v>19</v>
      </c>
      <c r="D36" s="143">
        <v>1347174311</v>
      </c>
      <c r="E36" s="145"/>
      <c r="F36" s="145">
        <v>500</v>
      </c>
      <c r="G36" s="145">
        <v>1000</v>
      </c>
      <c r="H36" s="145"/>
      <c r="I36" s="145">
        <v>1000</v>
      </c>
      <c r="J36" s="145">
        <v>1000</v>
      </c>
      <c r="K36" s="145">
        <v>500</v>
      </c>
      <c r="L36" s="145">
        <v>500</v>
      </c>
      <c r="M36" s="145">
        <v>500</v>
      </c>
      <c r="N36" s="145">
        <v>1000</v>
      </c>
      <c r="O36" s="145">
        <v>500</v>
      </c>
      <c r="P36" s="145"/>
      <c r="Q36" s="145">
        <v>500</v>
      </c>
      <c r="R36" s="145">
        <v>1000</v>
      </c>
      <c r="S36" s="145">
        <v>500</v>
      </c>
      <c r="T36" s="145">
        <v>1000</v>
      </c>
      <c r="U36" s="145"/>
      <c r="V36" s="145"/>
      <c r="W36" s="131">
        <f t="shared" si="0"/>
        <v>9500</v>
      </c>
      <c r="X36" s="131">
        <v>25000</v>
      </c>
      <c r="Y36" s="131">
        <v>2700</v>
      </c>
      <c r="Z36" s="100">
        <f t="shared" si="1"/>
        <v>37200</v>
      </c>
      <c r="AA36" s="17"/>
      <c r="AB36" s="17"/>
      <c r="AC36" s="18">
        <f t="shared" si="2"/>
        <v>37200</v>
      </c>
    </row>
    <row r="37" spans="1:29" x14ac:dyDescent="0.25">
      <c r="A37" s="11" t="s">
        <v>119</v>
      </c>
      <c r="B37" s="20" t="s">
        <v>159</v>
      </c>
      <c r="C37" s="12" t="s">
        <v>34</v>
      </c>
      <c r="D37" s="118" t="s">
        <v>177</v>
      </c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6">
        <f t="shared" si="0"/>
        <v>0</v>
      </c>
      <c r="X37" s="14">
        <v>18000</v>
      </c>
      <c r="Y37" s="14">
        <v>1800</v>
      </c>
      <c r="Z37" s="8">
        <f t="shared" si="1"/>
        <v>19800</v>
      </c>
      <c r="AA37" s="19">
        <v>500</v>
      </c>
      <c r="AB37" s="112">
        <v>500</v>
      </c>
      <c r="AC37" s="18">
        <f t="shared" si="2"/>
        <v>18800</v>
      </c>
    </row>
    <row r="38" spans="1:29" x14ac:dyDescent="0.25">
      <c r="A38" s="11" t="s">
        <v>120</v>
      </c>
      <c r="B38" s="20" t="s">
        <v>121</v>
      </c>
      <c r="C38" s="12" t="s">
        <v>23</v>
      </c>
      <c r="D38" s="118" t="s">
        <v>122</v>
      </c>
      <c r="E38" s="106"/>
      <c r="F38" s="106">
        <v>500</v>
      </c>
      <c r="G38" s="106">
        <v>1000</v>
      </c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6">
        <f t="shared" si="0"/>
        <v>1500</v>
      </c>
      <c r="X38" s="14">
        <v>25000</v>
      </c>
      <c r="Y38" s="14">
        <v>4800</v>
      </c>
      <c r="Z38" s="8">
        <f t="shared" si="1"/>
        <v>31300</v>
      </c>
      <c r="AA38" s="19"/>
      <c r="AB38" s="19"/>
      <c r="AC38" s="18">
        <f t="shared" si="2"/>
        <v>31300</v>
      </c>
    </row>
    <row r="39" spans="1:29" x14ac:dyDescent="0.25">
      <c r="A39" s="11" t="s">
        <v>123</v>
      </c>
      <c r="B39" s="20" t="s">
        <v>124</v>
      </c>
      <c r="C39" s="12" t="s">
        <v>34</v>
      </c>
      <c r="D39" s="118" t="s">
        <v>125</v>
      </c>
      <c r="E39" s="106">
        <v>1000</v>
      </c>
      <c r="F39" s="106">
        <v>500</v>
      </c>
      <c r="G39" s="106"/>
      <c r="H39" s="106"/>
      <c r="I39" s="106"/>
      <c r="J39" s="106">
        <v>1000</v>
      </c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6">
        <f t="shared" si="0"/>
        <v>2500</v>
      </c>
      <c r="X39" s="14">
        <v>20000</v>
      </c>
      <c r="Y39" s="14">
        <v>4500</v>
      </c>
      <c r="Z39" s="8">
        <f t="shared" si="1"/>
        <v>27000</v>
      </c>
      <c r="AA39" s="19"/>
      <c r="AB39" s="19"/>
      <c r="AC39" s="18">
        <f t="shared" si="2"/>
        <v>27000</v>
      </c>
    </row>
    <row r="40" spans="1:29" x14ac:dyDescent="0.25">
      <c r="A40" s="11" t="s">
        <v>126</v>
      </c>
      <c r="B40" s="12" t="s">
        <v>127</v>
      </c>
      <c r="C40" s="12" t="s">
        <v>27</v>
      </c>
      <c r="D40" s="118" t="s">
        <v>128</v>
      </c>
      <c r="E40" s="106">
        <v>500</v>
      </c>
      <c r="F40" s="106"/>
      <c r="G40" s="106">
        <v>1000</v>
      </c>
      <c r="H40" s="106">
        <v>1000</v>
      </c>
      <c r="I40" s="106">
        <v>1000</v>
      </c>
      <c r="J40" s="106">
        <v>1000</v>
      </c>
      <c r="K40" s="106"/>
      <c r="L40" s="106"/>
      <c r="M40" s="106"/>
      <c r="N40" s="106">
        <v>1000</v>
      </c>
      <c r="O40" s="106"/>
      <c r="P40" s="106"/>
      <c r="Q40" s="106"/>
      <c r="R40" s="106">
        <v>1000</v>
      </c>
      <c r="S40" s="106"/>
      <c r="T40" s="106">
        <v>1000</v>
      </c>
      <c r="U40" s="106"/>
      <c r="V40" s="106">
        <v>1000</v>
      </c>
      <c r="W40" s="16">
        <f t="shared" si="0"/>
        <v>8500</v>
      </c>
      <c r="X40" s="14">
        <v>20000</v>
      </c>
      <c r="Y40" s="14">
        <v>4500</v>
      </c>
      <c r="Z40" s="8">
        <f t="shared" si="1"/>
        <v>33000</v>
      </c>
      <c r="AA40" s="19">
        <v>5000</v>
      </c>
      <c r="AB40" s="112">
        <v>500</v>
      </c>
      <c r="AC40" s="18">
        <f t="shared" si="2"/>
        <v>27500</v>
      </c>
    </row>
    <row r="41" spans="1:29" x14ac:dyDescent="0.25">
      <c r="A41" s="133" t="s">
        <v>129</v>
      </c>
      <c r="B41" s="12" t="s">
        <v>175</v>
      </c>
      <c r="C41" s="12" t="s">
        <v>34</v>
      </c>
      <c r="D41" s="13" t="s">
        <v>161</v>
      </c>
      <c r="E41" s="131">
        <v>1000</v>
      </c>
      <c r="F41" s="131">
        <v>1000</v>
      </c>
      <c r="G41" s="131">
        <v>1000</v>
      </c>
      <c r="H41" s="131">
        <v>1000</v>
      </c>
      <c r="I41" s="131">
        <v>1000</v>
      </c>
      <c r="J41" s="131">
        <v>1000</v>
      </c>
      <c r="K41" s="131"/>
      <c r="L41" s="131">
        <v>500</v>
      </c>
      <c r="M41" s="131">
        <v>1000</v>
      </c>
      <c r="N41" s="131">
        <v>1000</v>
      </c>
      <c r="O41" s="131"/>
      <c r="P41" s="131"/>
      <c r="Q41" s="131"/>
      <c r="R41" s="131"/>
      <c r="S41" s="131"/>
      <c r="T41" s="131">
        <v>1000</v>
      </c>
      <c r="U41" s="131"/>
      <c r="V41" s="131">
        <v>1000</v>
      </c>
      <c r="W41" s="131">
        <f t="shared" si="0"/>
        <v>10500</v>
      </c>
      <c r="X41" s="131">
        <v>35000</v>
      </c>
      <c r="Y41" s="131">
        <v>3700</v>
      </c>
      <c r="Z41" s="100">
        <f t="shared" si="1"/>
        <v>49200</v>
      </c>
      <c r="AA41" s="17">
        <v>4070</v>
      </c>
      <c r="AB41" s="17"/>
      <c r="AC41" s="18">
        <f t="shared" si="2"/>
        <v>45130</v>
      </c>
    </row>
    <row r="42" spans="1:29" x14ac:dyDescent="0.25">
      <c r="A42" s="11" t="s">
        <v>132</v>
      </c>
      <c r="B42" s="12" t="s">
        <v>176</v>
      </c>
      <c r="C42" s="12" t="s">
        <v>34</v>
      </c>
      <c r="D42" s="13" t="s">
        <v>163</v>
      </c>
      <c r="E42" s="14">
        <v>500</v>
      </c>
      <c r="F42" s="14"/>
      <c r="G42" s="14">
        <v>1000</v>
      </c>
      <c r="H42" s="14"/>
      <c r="I42" s="14">
        <v>1000</v>
      </c>
      <c r="J42" s="14">
        <v>1000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6">
        <f t="shared" si="0"/>
        <v>3500</v>
      </c>
      <c r="X42" s="14">
        <v>19000</v>
      </c>
      <c r="Y42" s="14">
        <v>4500</v>
      </c>
      <c r="Z42" s="8">
        <f t="shared" si="1"/>
        <v>27000</v>
      </c>
      <c r="AA42" s="19"/>
      <c r="AB42" s="19"/>
      <c r="AC42" s="18">
        <f t="shared" si="2"/>
        <v>27000</v>
      </c>
    </row>
    <row r="43" spans="1:29" x14ac:dyDescent="0.25">
      <c r="A43" s="133" t="s">
        <v>160</v>
      </c>
      <c r="B43" s="12" t="s">
        <v>228</v>
      </c>
      <c r="C43" s="12" t="s">
        <v>34</v>
      </c>
      <c r="D43" s="13" t="s">
        <v>183</v>
      </c>
      <c r="E43" s="131"/>
      <c r="F43" s="131">
        <v>500</v>
      </c>
      <c r="G43" s="131">
        <v>1000</v>
      </c>
      <c r="H43" s="131"/>
      <c r="I43" s="131">
        <v>1000</v>
      </c>
      <c r="J43" s="131">
        <v>1000</v>
      </c>
      <c r="K43" s="131">
        <v>500</v>
      </c>
      <c r="L43" s="131">
        <v>500</v>
      </c>
      <c r="M43" s="131"/>
      <c r="N43" s="131"/>
      <c r="O43" s="131">
        <v>500</v>
      </c>
      <c r="P43" s="131"/>
      <c r="Q43" s="131">
        <v>500</v>
      </c>
      <c r="R43" s="131">
        <v>1000</v>
      </c>
      <c r="S43" s="131"/>
      <c r="T43" s="131">
        <v>1000</v>
      </c>
      <c r="U43" s="131"/>
      <c r="V43" s="131"/>
      <c r="W43" s="131">
        <f t="shared" si="0"/>
        <v>7500</v>
      </c>
      <c r="X43" s="131">
        <v>25000</v>
      </c>
      <c r="Y43" s="131">
        <v>3600</v>
      </c>
      <c r="Z43" s="100">
        <f t="shared" si="1"/>
        <v>36100</v>
      </c>
      <c r="AA43" s="17">
        <v>600</v>
      </c>
      <c r="AB43" s="17"/>
      <c r="AC43" s="18">
        <f t="shared" si="2"/>
        <v>35500</v>
      </c>
    </row>
    <row r="44" spans="1:29" x14ac:dyDescent="0.25">
      <c r="A44" s="133" t="s">
        <v>162</v>
      </c>
      <c r="B44" s="12" t="s">
        <v>221</v>
      </c>
      <c r="C44" s="12" t="s">
        <v>34</v>
      </c>
      <c r="D44" s="13" t="s">
        <v>222</v>
      </c>
      <c r="E44" s="131"/>
      <c r="F44" s="131"/>
      <c r="G44" s="131">
        <v>1000</v>
      </c>
      <c r="H44" s="131"/>
      <c r="I44" s="131">
        <v>1000</v>
      </c>
      <c r="J44" s="131">
        <v>1000</v>
      </c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>
        <f t="shared" si="0"/>
        <v>3000</v>
      </c>
      <c r="X44" s="131">
        <v>18000</v>
      </c>
      <c r="Y44" s="131">
        <v>4500</v>
      </c>
      <c r="Z44" s="100">
        <f t="shared" si="1"/>
        <v>25500</v>
      </c>
      <c r="AA44" s="17"/>
      <c r="AB44" s="17"/>
      <c r="AC44" s="18">
        <f t="shared" si="2"/>
        <v>25500</v>
      </c>
    </row>
    <row r="45" spans="1:29" x14ac:dyDescent="0.25">
      <c r="A45" s="11" t="s">
        <v>181</v>
      </c>
      <c r="B45" s="12" t="s">
        <v>218</v>
      </c>
      <c r="C45" s="12" t="s">
        <v>23</v>
      </c>
      <c r="D45" s="13" t="s">
        <v>245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6">
        <f t="shared" si="0"/>
        <v>0</v>
      </c>
      <c r="X45" s="14">
        <v>10000</v>
      </c>
      <c r="Y45" s="14"/>
      <c r="Z45" s="8">
        <f t="shared" si="1"/>
        <v>10000</v>
      </c>
      <c r="AA45" s="19"/>
      <c r="AB45" s="19"/>
      <c r="AC45" s="18">
        <f t="shared" si="2"/>
        <v>10000</v>
      </c>
    </row>
    <row r="46" spans="1:29" x14ac:dyDescent="0.25">
      <c r="A46" s="11" t="s">
        <v>217</v>
      </c>
      <c r="B46" s="12" t="s">
        <v>225</v>
      </c>
      <c r="C46" s="12" t="s">
        <v>56</v>
      </c>
      <c r="D46" s="13" t="s">
        <v>226</v>
      </c>
      <c r="E46" s="14">
        <v>1000</v>
      </c>
      <c r="F46" s="14">
        <v>1000</v>
      </c>
      <c r="G46" s="14"/>
      <c r="H46" s="14">
        <v>1000</v>
      </c>
      <c r="I46" s="14"/>
      <c r="J46" s="14"/>
      <c r="K46" s="14">
        <v>1000</v>
      </c>
      <c r="L46" s="14"/>
      <c r="M46" s="14"/>
      <c r="N46" s="14"/>
      <c r="O46" s="14"/>
      <c r="P46" s="14">
        <v>1000</v>
      </c>
      <c r="Q46" s="14">
        <v>1000</v>
      </c>
      <c r="R46" s="14"/>
      <c r="S46" s="14"/>
      <c r="T46" s="14"/>
      <c r="U46" s="14"/>
      <c r="V46" s="14">
        <v>1000</v>
      </c>
      <c r="W46" s="16">
        <f t="shared" si="0"/>
        <v>7000</v>
      </c>
      <c r="X46" s="14">
        <v>25000</v>
      </c>
      <c r="Y46" s="14">
        <v>1800</v>
      </c>
      <c r="Z46" s="8">
        <f t="shared" si="1"/>
        <v>33800</v>
      </c>
      <c r="AA46" s="19">
        <v>2600</v>
      </c>
      <c r="AB46" s="112">
        <v>1500</v>
      </c>
      <c r="AC46" s="18">
        <f t="shared" si="2"/>
        <v>29700</v>
      </c>
    </row>
    <row r="47" spans="1:29" x14ac:dyDescent="0.25">
      <c r="A47" s="102">
        <v>44</v>
      </c>
      <c r="B47" s="12" t="s">
        <v>148</v>
      </c>
      <c r="C47" s="12" t="s">
        <v>34</v>
      </c>
      <c r="D47" s="13" t="s">
        <v>149</v>
      </c>
      <c r="E47" s="14"/>
      <c r="F47" s="14">
        <v>1000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>
        <v>500</v>
      </c>
      <c r="T47" s="14"/>
      <c r="U47" s="14"/>
      <c r="V47" s="14"/>
      <c r="W47" s="16">
        <f t="shared" si="0"/>
        <v>1500</v>
      </c>
      <c r="X47" s="14">
        <v>25000</v>
      </c>
      <c r="Y47" s="14">
        <v>2700</v>
      </c>
      <c r="Z47" s="8">
        <f t="shared" si="1"/>
        <v>29200</v>
      </c>
      <c r="AA47" s="19">
        <v>2750</v>
      </c>
      <c r="AB47" s="19"/>
      <c r="AC47" s="18">
        <f t="shared" si="2"/>
        <v>26450</v>
      </c>
    </row>
    <row r="48" spans="1:29" x14ac:dyDescent="0.25">
      <c r="A48" s="11" t="s">
        <v>223</v>
      </c>
      <c r="B48" s="12" t="s">
        <v>130</v>
      </c>
      <c r="C48" s="12" t="s">
        <v>27</v>
      </c>
      <c r="D48" s="13" t="s">
        <v>131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6">
        <f t="shared" si="0"/>
        <v>0</v>
      </c>
      <c r="X48" s="14">
        <v>100000</v>
      </c>
      <c r="Y48" s="14"/>
      <c r="Z48" s="8">
        <f t="shared" si="1"/>
        <v>100000</v>
      </c>
      <c r="AA48" s="19"/>
      <c r="AB48" s="19"/>
      <c r="AC48" s="18">
        <f t="shared" si="2"/>
        <v>100000</v>
      </c>
    </row>
    <row r="49" spans="1:29" x14ac:dyDescent="0.25">
      <c r="A49" s="11" t="s">
        <v>227</v>
      </c>
      <c r="B49" s="12" t="s">
        <v>133</v>
      </c>
      <c r="C49" s="12" t="s">
        <v>27</v>
      </c>
      <c r="D49" s="53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6">
        <f t="shared" si="0"/>
        <v>0</v>
      </c>
      <c r="X49" s="14">
        <v>150000</v>
      </c>
      <c r="Y49" s="14"/>
      <c r="Z49" s="8">
        <f t="shared" si="1"/>
        <v>150000</v>
      </c>
      <c r="AA49" s="19"/>
      <c r="AB49" s="19"/>
      <c r="AC49" s="18">
        <f t="shared" si="2"/>
        <v>150000</v>
      </c>
    </row>
    <row r="50" spans="1:29" x14ac:dyDescent="0.25">
      <c r="A50" s="99"/>
      <c r="B50" s="2"/>
      <c r="C50" s="2"/>
      <c r="D50" s="53" t="s">
        <v>224</v>
      </c>
      <c r="E50" s="100">
        <f>SUM(E5:E49)</f>
        <v>14000</v>
      </c>
      <c r="F50" s="100">
        <f t="shared" ref="F50:V50" si="3">SUM(F5:F49)</f>
        <v>15500</v>
      </c>
      <c r="G50" s="100">
        <f t="shared" si="3"/>
        <v>21000</v>
      </c>
      <c r="H50" s="100">
        <f t="shared" si="3"/>
        <v>13000</v>
      </c>
      <c r="I50" s="100">
        <f t="shared" si="3"/>
        <v>9000</v>
      </c>
      <c r="J50" s="100">
        <f t="shared" si="3"/>
        <v>23000</v>
      </c>
      <c r="K50" s="100">
        <f t="shared" si="3"/>
        <v>9000</v>
      </c>
      <c r="L50" s="100">
        <f t="shared" si="3"/>
        <v>3000</v>
      </c>
      <c r="M50" s="100">
        <f t="shared" si="3"/>
        <v>3500</v>
      </c>
      <c r="N50" s="100">
        <f t="shared" si="3"/>
        <v>8000</v>
      </c>
      <c r="O50" s="100">
        <f t="shared" si="3"/>
        <v>11000</v>
      </c>
      <c r="P50" s="100">
        <f t="shared" si="3"/>
        <v>11500</v>
      </c>
      <c r="Q50" s="100">
        <f t="shared" si="3"/>
        <v>6000</v>
      </c>
      <c r="R50" s="100">
        <f t="shared" si="3"/>
        <v>5000</v>
      </c>
      <c r="S50" s="100">
        <f t="shared" si="3"/>
        <v>4000</v>
      </c>
      <c r="T50" s="100">
        <f t="shared" si="3"/>
        <v>7000</v>
      </c>
      <c r="U50" s="100">
        <f t="shared" si="3"/>
        <v>3000</v>
      </c>
      <c r="V50" s="100">
        <f t="shared" si="3"/>
        <v>13000</v>
      </c>
      <c r="W50" s="90">
        <f>SUM(W5:W49)</f>
        <v>179500</v>
      </c>
      <c r="X50" s="100">
        <f t="shared" ref="X50:AC50" si="4">SUM(X5:X49)</f>
        <v>1250500</v>
      </c>
      <c r="Y50" s="100">
        <f t="shared" si="4"/>
        <v>223560</v>
      </c>
      <c r="Z50" s="100">
        <f t="shared" si="4"/>
        <v>1653560</v>
      </c>
      <c r="AA50" s="111">
        <f>SUM(AA5:AA49)</f>
        <v>39570</v>
      </c>
      <c r="AB50" s="111"/>
      <c r="AC50" s="100">
        <f t="shared" si="4"/>
        <v>1604638.75</v>
      </c>
    </row>
    <row r="51" spans="1:29" x14ac:dyDescent="0.25">
      <c r="A51" s="11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6"/>
      <c r="X51" s="14"/>
      <c r="Y51" s="14"/>
      <c r="Z51" s="8"/>
      <c r="AA51" s="19"/>
      <c r="AB51" s="19"/>
      <c r="AC51" s="18"/>
    </row>
    <row r="52" spans="1:29" x14ac:dyDescent="0.25">
      <c r="A52" s="2" t="s">
        <v>135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90"/>
      <c r="X52" s="14"/>
      <c r="Y52" s="14"/>
      <c r="Z52" s="8"/>
      <c r="AA52" s="34"/>
      <c r="AB52" s="34"/>
      <c r="AC52" s="2"/>
    </row>
    <row r="53" spans="1:29" x14ac:dyDescent="0.25">
      <c r="A53" s="20">
        <v>1</v>
      </c>
      <c r="B53" s="12" t="s">
        <v>136</v>
      </c>
      <c r="C53" s="12" t="s">
        <v>23</v>
      </c>
      <c r="D53" s="13" t="s">
        <v>137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03">
        <f t="shared" ref="W53:W58" si="5">SUM(E53:V53)</f>
        <v>0</v>
      </c>
      <c r="X53" s="14">
        <v>30000</v>
      </c>
      <c r="Y53" s="14"/>
      <c r="Z53" s="8">
        <f>W53+X53+Y53</f>
        <v>30000</v>
      </c>
      <c r="AA53" s="19"/>
      <c r="AB53" s="19"/>
      <c r="AC53" s="18">
        <f>Z53-AA53-AB53</f>
        <v>30000</v>
      </c>
    </row>
    <row r="54" spans="1:29" x14ac:dyDescent="0.25">
      <c r="A54" s="20">
        <v>2</v>
      </c>
      <c r="B54" s="12" t="s">
        <v>138</v>
      </c>
      <c r="C54" s="12" t="s">
        <v>16</v>
      </c>
      <c r="D54" s="13" t="s">
        <v>139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03">
        <f t="shared" si="5"/>
        <v>0</v>
      </c>
      <c r="X54" s="14">
        <v>20000</v>
      </c>
      <c r="Y54" s="14"/>
      <c r="Z54" s="8">
        <f t="shared" ref="Z54:Z58" si="6">W54+X54+Y54</f>
        <v>20000</v>
      </c>
      <c r="AA54" s="19"/>
      <c r="AB54" s="19"/>
      <c r="AC54" s="18">
        <f t="shared" ref="AC54:AC58" si="7">Z54-AA54-AB54</f>
        <v>20000</v>
      </c>
    </row>
    <row r="55" spans="1:29" x14ac:dyDescent="0.25">
      <c r="A55" s="20">
        <v>3</v>
      </c>
      <c r="B55" s="12" t="s">
        <v>140</v>
      </c>
      <c r="C55" s="21" t="s">
        <v>56</v>
      </c>
      <c r="D55" s="13" t="s">
        <v>141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03">
        <f t="shared" si="5"/>
        <v>0</v>
      </c>
      <c r="X55" s="14">
        <v>23000</v>
      </c>
      <c r="Y55" s="14"/>
      <c r="Z55" s="8">
        <f t="shared" si="6"/>
        <v>23000</v>
      </c>
      <c r="AA55" s="19"/>
      <c r="AB55" s="19"/>
      <c r="AC55" s="18">
        <f t="shared" si="7"/>
        <v>23000</v>
      </c>
    </row>
    <row r="56" spans="1:29" x14ac:dyDescent="0.25">
      <c r="A56" s="20">
        <v>4</v>
      </c>
      <c r="B56" s="12" t="s">
        <v>142</v>
      </c>
      <c r="C56" s="12" t="s">
        <v>34</v>
      </c>
      <c r="D56" s="13" t="s">
        <v>143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03">
        <f t="shared" si="5"/>
        <v>0</v>
      </c>
      <c r="X56" s="14">
        <v>0</v>
      </c>
      <c r="Y56" s="14"/>
      <c r="Z56" s="8">
        <f t="shared" si="6"/>
        <v>0</v>
      </c>
      <c r="AA56" s="19"/>
      <c r="AB56" s="19"/>
      <c r="AC56" s="18">
        <f t="shared" si="7"/>
        <v>0</v>
      </c>
    </row>
    <row r="57" spans="1:29" x14ac:dyDescent="0.25">
      <c r="A57" s="20">
        <v>5</v>
      </c>
      <c r="B57" s="12" t="s">
        <v>144</v>
      </c>
      <c r="C57" s="12" t="s">
        <v>16</v>
      </c>
      <c r="D57" s="13" t="s">
        <v>145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03">
        <f t="shared" si="5"/>
        <v>0</v>
      </c>
      <c r="X57" s="14">
        <v>0</v>
      </c>
      <c r="Y57" s="14"/>
      <c r="Z57" s="8">
        <f>W57+X57+Y57</f>
        <v>0</v>
      </c>
      <c r="AA57" s="19"/>
      <c r="AB57" s="19"/>
      <c r="AC57" s="18">
        <f t="shared" si="7"/>
        <v>0</v>
      </c>
    </row>
    <row r="58" spans="1:29" x14ac:dyDescent="0.25">
      <c r="A58" s="20">
        <v>6</v>
      </c>
      <c r="B58" s="12" t="s">
        <v>178</v>
      </c>
      <c r="C58" s="12" t="s">
        <v>179</v>
      </c>
      <c r="D58" s="13" t="s">
        <v>180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03">
        <f t="shared" si="5"/>
        <v>0</v>
      </c>
      <c r="X58" s="14">
        <v>15000</v>
      </c>
      <c r="Y58" s="14"/>
      <c r="Z58" s="8">
        <f t="shared" si="6"/>
        <v>15000</v>
      </c>
      <c r="AA58" s="19"/>
      <c r="AB58" s="19"/>
      <c r="AC58" s="18">
        <f t="shared" si="7"/>
        <v>15000</v>
      </c>
    </row>
    <row r="59" spans="1:29" x14ac:dyDescent="0.25">
      <c r="A59" s="2"/>
      <c r="B59" s="2"/>
      <c r="C59" s="2"/>
      <c r="D59" s="53" t="s">
        <v>146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90">
        <f>SUM(W53:W58)</f>
        <v>0</v>
      </c>
      <c r="X59" s="18">
        <f>SUM(X53:X58)</f>
        <v>88000</v>
      </c>
      <c r="Y59" s="18">
        <f t="shared" ref="Y59:AA59" si="8">SUM(Y53:Y58)</f>
        <v>0</v>
      </c>
      <c r="Z59" s="18">
        <f>SUM(Z53:Z58)</f>
        <v>88000</v>
      </c>
      <c r="AA59" s="18">
        <f t="shared" si="8"/>
        <v>0</v>
      </c>
      <c r="AB59" s="18"/>
      <c r="AC59" s="18">
        <f>SUM(AC53:AC58)</f>
        <v>88000</v>
      </c>
    </row>
    <row r="60" spans="1:29" x14ac:dyDescent="0.25">
      <c r="A60" s="2" t="s">
        <v>147</v>
      </c>
      <c r="B60" s="20"/>
      <c r="C60" s="2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19"/>
      <c r="X60" s="14"/>
      <c r="Y60" s="14"/>
      <c r="Z60" s="8"/>
      <c r="AA60" s="19"/>
      <c r="AB60" s="19"/>
      <c r="AC60" s="2"/>
    </row>
    <row r="61" spans="1:29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x14ac:dyDescent="0.25">
      <c r="A62" s="20">
        <v>2</v>
      </c>
      <c r="B62" s="12" t="s">
        <v>150</v>
      </c>
      <c r="C62" s="12" t="s">
        <v>27</v>
      </c>
      <c r="D62" s="13" t="s">
        <v>151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03">
        <f>SUM(E62:V62)</f>
        <v>0</v>
      </c>
      <c r="X62" s="14">
        <v>30000</v>
      </c>
      <c r="Y62" s="14"/>
      <c r="Z62" s="8">
        <f t="shared" ref="Z62:Z64" si="9">W62+X62+Y62</f>
        <v>30000</v>
      </c>
      <c r="AA62" s="19"/>
      <c r="AB62" s="19"/>
      <c r="AC62" s="18">
        <f>Z62-AA62-AB62</f>
        <v>30000</v>
      </c>
    </row>
    <row r="63" spans="1:29" x14ac:dyDescent="0.25">
      <c r="A63" s="20">
        <v>3</v>
      </c>
      <c r="B63" s="12" t="s">
        <v>152</v>
      </c>
      <c r="C63" s="12" t="s">
        <v>27</v>
      </c>
      <c r="D63" s="13" t="s">
        <v>153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03">
        <f>SUM(E63:V63)</f>
        <v>0</v>
      </c>
      <c r="X63" s="14">
        <v>25000</v>
      </c>
      <c r="Y63" s="14"/>
      <c r="Z63" s="8">
        <f t="shared" si="9"/>
        <v>25000</v>
      </c>
      <c r="AA63" s="19"/>
      <c r="AB63" s="19"/>
      <c r="AC63" s="18">
        <f t="shared" ref="AC63:AC64" si="10">Z63-AA63-AB63</f>
        <v>25000</v>
      </c>
    </row>
    <row r="64" spans="1:29" x14ac:dyDescent="0.25">
      <c r="A64" s="20">
        <v>4</v>
      </c>
      <c r="B64" s="12" t="s">
        <v>154</v>
      </c>
      <c r="C64" s="12" t="s">
        <v>19</v>
      </c>
      <c r="D64" s="13" t="s">
        <v>155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03">
        <f>SUM(E64:V64)</f>
        <v>0</v>
      </c>
      <c r="X64" s="14">
        <v>20000</v>
      </c>
      <c r="Y64" s="14"/>
      <c r="Z64" s="8">
        <f t="shared" si="9"/>
        <v>20000</v>
      </c>
      <c r="AA64" s="19"/>
      <c r="AB64" s="19"/>
      <c r="AC64" s="18">
        <f t="shared" si="10"/>
        <v>20000</v>
      </c>
    </row>
    <row r="65" spans="1:29" x14ac:dyDescent="0.25">
      <c r="A65" s="2"/>
      <c r="B65" s="2"/>
      <c r="C65" s="2"/>
      <c r="D65" s="53" t="s">
        <v>156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90">
        <f>SUM(W62:W64)</f>
        <v>0</v>
      </c>
      <c r="X65" s="8">
        <f>SUM(X62:X64)</f>
        <v>75000</v>
      </c>
      <c r="Y65" s="8">
        <f t="shared" ref="Y65:AA65" si="11">SUM(Y62:Y64)</f>
        <v>0</v>
      </c>
      <c r="Z65" s="8">
        <f>SUM(Z62:Z64)</f>
        <v>75000</v>
      </c>
      <c r="AA65" s="8">
        <f t="shared" si="11"/>
        <v>0</v>
      </c>
      <c r="AB65" s="8"/>
      <c r="AC65" s="8">
        <f>SUM(AC62:AC64)</f>
        <v>75000</v>
      </c>
    </row>
    <row r="66" spans="1:29" x14ac:dyDescent="0.25">
      <c r="A66" s="2" t="s">
        <v>157</v>
      </c>
      <c r="B66" s="20"/>
      <c r="C66" s="20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03"/>
      <c r="X66" s="14"/>
      <c r="Y66" s="14"/>
      <c r="Z66" s="8"/>
      <c r="AA66" s="19"/>
      <c r="AB66" s="19"/>
      <c r="AC66" s="2"/>
    </row>
    <row r="67" spans="1:29" x14ac:dyDescent="0.25">
      <c r="A67" s="20">
        <v>1</v>
      </c>
      <c r="B67" s="12" t="s">
        <v>158</v>
      </c>
      <c r="C67" s="12" t="s">
        <v>19</v>
      </c>
      <c r="D67" s="13">
        <v>1236977351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03">
        <f>SUM(E67:V67)</f>
        <v>0</v>
      </c>
      <c r="X67" s="14">
        <v>40000</v>
      </c>
      <c r="Y67" s="14"/>
      <c r="Z67" s="8">
        <f>X67+W67+Y67</f>
        <v>40000</v>
      </c>
      <c r="AA67" s="19"/>
      <c r="AB67" s="112">
        <v>650</v>
      </c>
      <c r="AC67" s="18">
        <f>Z67-AA67-AB67</f>
        <v>39350</v>
      </c>
    </row>
    <row r="68" spans="1:29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15"/>
      <c r="X68" s="20"/>
      <c r="Y68" s="20"/>
      <c r="Z68" s="20"/>
      <c r="AA68" s="20"/>
      <c r="AB68" s="20"/>
      <c r="AC68" s="20"/>
    </row>
    <row r="69" spans="1:29" x14ac:dyDescent="0.25">
      <c r="A69" s="2" t="s">
        <v>229</v>
      </c>
      <c r="B69" s="12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6">
        <f>SUM(E69:V69)</f>
        <v>0</v>
      </c>
      <c r="X69" s="14"/>
      <c r="Y69" s="14"/>
      <c r="Z69" s="8"/>
      <c r="AA69" s="19"/>
      <c r="AB69" s="19"/>
      <c r="AC69" s="18"/>
    </row>
    <row r="70" spans="1:29" x14ac:dyDescent="0.25">
      <c r="A70" s="20">
        <v>1</v>
      </c>
      <c r="B70" s="12" t="s">
        <v>165</v>
      </c>
      <c r="C70" s="12" t="s">
        <v>27</v>
      </c>
      <c r="D70" s="13" t="s">
        <v>166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6">
        <f t="shared" ref="W70:W73" si="12">SUM(E70:V70)</f>
        <v>0</v>
      </c>
      <c r="X70" s="14">
        <v>40000</v>
      </c>
      <c r="Y70" s="14">
        <v>7000</v>
      </c>
      <c r="Z70" s="8">
        <f>W70+X70+Y70</f>
        <v>47000</v>
      </c>
      <c r="AA70" s="19"/>
      <c r="AB70" s="19"/>
      <c r="AC70" s="18">
        <f>Z70-AA70-AB70</f>
        <v>47000</v>
      </c>
    </row>
    <row r="71" spans="1:29" x14ac:dyDescent="0.25">
      <c r="A71" s="20">
        <v>2</v>
      </c>
      <c r="B71" s="12" t="s">
        <v>167</v>
      </c>
      <c r="C71" s="64" t="s">
        <v>168</v>
      </c>
      <c r="D71" s="13" t="s">
        <v>169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6">
        <f t="shared" si="12"/>
        <v>0</v>
      </c>
      <c r="X71" s="14">
        <v>35000</v>
      </c>
      <c r="Y71" s="14">
        <v>3200</v>
      </c>
      <c r="Z71" s="8">
        <f t="shared" ref="Z71:Z73" si="13">W71+X71+Y71</f>
        <v>38200</v>
      </c>
      <c r="AA71" s="19">
        <v>1020</v>
      </c>
      <c r="AB71" s="19"/>
      <c r="AC71" s="18">
        <f t="shared" ref="AC71:AC73" si="14">Z71-AA71-AB71</f>
        <v>37180</v>
      </c>
    </row>
    <row r="72" spans="1:29" x14ac:dyDescent="0.25">
      <c r="A72" s="20">
        <v>3</v>
      </c>
      <c r="B72" s="12" t="s">
        <v>170</v>
      </c>
      <c r="C72" s="64" t="s">
        <v>27</v>
      </c>
      <c r="D72" s="13" t="s">
        <v>184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6">
        <f t="shared" si="12"/>
        <v>0</v>
      </c>
      <c r="X72" s="14">
        <v>14400</v>
      </c>
      <c r="Y72" s="14">
        <v>4500</v>
      </c>
      <c r="Z72" s="8">
        <f t="shared" si="13"/>
        <v>18900</v>
      </c>
      <c r="AA72" s="19"/>
      <c r="AB72" s="19"/>
      <c r="AC72" s="18">
        <f t="shared" si="14"/>
        <v>18900</v>
      </c>
    </row>
    <row r="73" spans="1:29" x14ac:dyDescent="0.25">
      <c r="A73" s="20">
        <v>4</v>
      </c>
      <c r="B73" s="12" t="s">
        <v>171</v>
      </c>
      <c r="C73" s="12" t="s">
        <v>27</v>
      </c>
      <c r="D73" s="13" t="s">
        <v>172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6">
        <f t="shared" si="12"/>
        <v>0</v>
      </c>
      <c r="X73" s="14">
        <v>80000</v>
      </c>
      <c r="Y73" s="14">
        <v>11000</v>
      </c>
      <c r="Z73" s="8">
        <f t="shared" si="13"/>
        <v>91000</v>
      </c>
      <c r="AA73" s="19"/>
      <c r="AB73" s="112">
        <v>1075</v>
      </c>
      <c r="AC73" s="18">
        <f t="shared" si="14"/>
        <v>89925</v>
      </c>
    </row>
    <row r="74" spans="1:29" x14ac:dyDescent="0.25">
      <c r="A74" s="2"/>
      <c r="B74" s="2"/>
      <c r="C74" s="65"/>
      <c r="D74" s="53" t="s">
        <v>173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90">
        <f>SUM(W69:W73)</f>
        <v>0</v>
      </c>
      <c r="X74" s="8">
        <f>SUM(X70:X73)</f>
        <v>169400</v>
      </c>
      <c r="Y74" s="8">
        <f>SUM(Y70:Y73)</f>
        <v>25700</v>
      </c>
      <c r="Z74" s="8">
        <f>SUM(Z70:Z73)</f>
        <v>195100</v>
      </c>
      <c r="AA74" s="34">
        <f>AA70+AA71</f>
        <v>1020</v>
      </c>
      <c r="AB74" s="34"/>
      <c r="AC74" s="18">
        <f>SUM(AC70:AC73)</f>
        <v>193005</v>
      </c>
    </row>
    <row r="75" spans="1:29" x14ac:dyDescent="0.25">
      <c r="A75" s="2"/>
      <c r="B75" s="2"/>
      <c r="C75" s="65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16"/>
      <c r="X75" s="8"/>
      <c r="Y75" s="8"/>
      <c r="Z75" s="8"/>
      <c r="AA75" s="34"/>
      <c r="AB75" s="34"/>
      <c r="AC75" s="18"/>
    </row>
    <row r="76" spans="1:29" x14ac:dyDescent="0.25">
      <c r="A76" s="2"/>
      <c r="B76" s="2"/>
      <c r="C76" s="2"/>
      <c r="D76" s="2" t="s">
        <v>174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8">
        <f>W50+W59+W65+W67+W74</f>
        <v>179500</v>
      </c>
      <c r="X76" s="8">
        <f>X50+X59+X65+X67+X74</f>
        <v>1622900</v>
      </c>
      <c r="Y76" s="8">
        <f>Y50+Y59+Y65+Y67+Y74</f>
        <v>249260</v>
      </c>
      <c r="Z76" s="8">
        <f t="shared" ref="Z76:AA76" si="15">Z50+Z59+Z65+Z67+Z74</f>
        <v>2051660</v>
      </c>
      <c r="AA76" s="8">
        <f t="shared" si="15"/>
        <v>40590</v>
      </c>
      <c r="AB76" s="8">
        <f>AB73+AB67+AB46+AB40+AB37+AB35+AB24+AB21+AB16+AB14+AB13+AB11+AB11+AB5</f>
        <v>11576.25</v>
      </c>
      <c r="AC76" s="8">
        <f>AC50+AC59+AC65+AC67+AC74</f>
        <v>1999993.75</v>
      </c>
    </row>
  </sheetData>
  <mergeCells count="4">
    <mergeCell ref="A1:AC1"/>
    <mergeCell ref="B2:AC2"/>
    <mergeCell ref="AC3:AC4"/>
    <mergeCell ref="AA3:AB3"/>
  </mergeCells>
  <pageMargins left="0.7" right="0.7" top="0.75" bottom="0.75" header="0.3" footer="0.3"/>
  <pageSetup scale="58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0FC4-7B39-4DC0-8DEC-86847CF4998F}">
  <sheetPr>
    <pageSetUpPr fitToPage="1"/>
  </sheetPr>
  <dimension ref="A1:Y75"/>
  <sheetViews>
    <sheetView zoomScale="85" zoomScaleNormal="85" zoomScaleSheetLayoutView="85" workbookViewId="0">
      <selection activeCell="S2" sqref="S1:S1048576"/>
    </sheetView>
  </sheetViews>
  <sheetFormatPr defaultColWidth="0" defaultRowHeight="15" x14ac:dyDescent="0.25"/>
  <cols>
    <col min="1" max="1" width="19.28515625" bestFit="1" customWidth="1"/>
    <col min="2" max="2" width="28.42578125" bestFit="1" customWidth="1"/>
    <col min="3" max="3" width="10.5703125" hidden="1" customWidth="1"/>
    <col min="4" max="4" width="15.42578125" hidden="1" customWidth="1"/>
    <col min="5" max="5" width="10.5703125" hidden="1" customWidth="1"/>
    <col min="6" max="8" width="9.5703125" hidden="1" customWidth="1"/>
    <col min="9" max="9" width="14.140625" hidden="1" customWidth="1"/>
    <col min="10" max="10" width="9.85546875" hidden="1" customWidth="1"/>
    <col min="11" max="11" width="17.85546875" hidden="1" customWidth="1"/>
    <col min="12" max="12" width="13.5703125" hidden="1" customWidth="1"/>
    <col min="13" max="15" width="10.85546875" hidden="1" customWidth="1"/>
    <col min="16" max="16" width="16.140625" hidden="1" customWidth="1"/>
    <col min="17" max="17" width="13.5703125" hidden="1" customWidth="1"/>
    <col min="18" max="18" width="15.140625" hidden="1" customWidth="1"/>
    <col min="19" max="19" width="11.7109375" bestFit="1" customWidth="1"/>
    <col min="20" max="20" width="14.85546875" bestFit="1" customWidth="1"/>
    <col min="21" max="21" width="16" bestFit="1" customWidth="1"/>
    <col min="22" max="22" width="13.28515625" bestFit="1" customWidth="1"/>
    <col min="23" max="23" width="10.5703125" bestFit="1" customWidth="1"/>
    <col min="24" max="24" width="10.5703125" style="130" bestFit="1" customWidth="1"/>
    <col min="25" max="25" width="13.28515625" bestFit="1" customWidth="1"/>
    <col min="26" max="16384" width="9.140625" hidden="1"/>
  </cols>
  <sheetData>
    <row r="1" spans="1:25" x14ac:dyDescent="0.25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1"/>
    </row>
    <row r="2" spans="1:25" x14ac:dyDescent="0.25">
      <c r="A2" s="116">
        <v>46143</v>
      </c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  <c r="Y2" s="121"/>
    </row>
    <row r="3" spans="1:25" x14ac:dyDescent="0.25">
      <c r="A3" s="2" t="s">
        <v>2</v>
      </c>
      <c r="B3" s="2"/>
      <c r="C3" s="2"/>
      <c r="D3" s="2"/>
      <c r="E3" s="257" t="s">
        <v>9</v>
      </c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9"/>
      <c r="S3" s="114"/>
      <c r="T3" s="114"/>
      <c r="U3" s="114" t="s">
        <v>256</v>
      </c>
      <c r="V3" s="114"/>
      <c r="W3" s="256" t="s">
        <v>3</v>
      </c>
      <c r="X3" s="256"/>
      <c r="Y3" s="255" t="s">
        <v>4</v>
      </c>
    </row>
    <row r="4" spans="1:25" x14ac:dyDescent="0.25">
      <c r="A4" s="2" t="s">
        <v>5</v>
      </c>
      <c r="B4" s="2" t="s">
        <v>6</v>
      </c>
      <c r="C4" s="2" t="s">
        <v>7</v>
      </c>
      <c r="D4" s="2" t="s">
        <v>8</v>
      </c>
      <c r="E4" s="73">
        <v>46027</v>
      </c>
      <c r="F4" s="73">
        <v>46086</v>
      </c>
      <c r="G4" s="73">
        <v>46117</v>
      </c>
      <c r="H4" s="73">
        <v>46147</v>
      </c>
      <c r="I4" s="73" t="s">
        <v>261</v>
      </c>
      <c r="J4" s="73">
        <v>46300</v>
      </c>
      <c r="K4" s="73" t="s">
        <v>259</v>
      </c>
      <c r="L4" s="73" t="s">
        <v>260</v>
      </c>
      <c r="M4" s="73" t="s">
        <v>262</v>
      </c>
      <c r="N4" s="73" t="s">
        <v>263</v>
      </c>
      <c r="O4" s="73" t="s">
        <v>264</v>
      </c>
      <c r="P4" s="73" t="s">
        <v>265</v>
      </c>
      <c r="Q4" s="73" t="s">
        <v>266</v>
      </c>
      <c r="R4" s="73" t="s">
        <v>267</v>
      </c>
      <c r="S4" s="90" t="s">
        <v>9</v>
      </c>
      <c r="T4" s="8" t="s">
        <v>10</v>
      </c>
      <c r="U4" s="8" t="s">
        <v>270</v>
      </c>
      <c r="V4" s="8" t="s">
        <v>12</v>
      </c>
      <c r="W4" s="10" t="s">
        <v>13</v>
      </c>
      <c r="X4" s="123" t="s">
        <v>255</v>
      </c>
      <c r="Y4" s="255"/>
    </row>
    <row r="5" spans="1:25" x14ac:dyDescent="0.25">
      <c r="A5" s="120" t="s">
        <v>14</v>
      </c>
      <c r="B5" s="12" t="s">
        <v>15</v>
      </c>
      <c r="C5" s="12" t="s">
        <v>16</v>
      </c>
      <c r="D5" s="13">
        <v>2050766384</v>
      </c>
      <c r="E5" s="14"/>
      <c r="F5" s="14"/>
      <c r="G5" s="14">
        <v>1000</v>
      </c>
      <c r="H5" s="14">
        <v>1000</v>
      </c>
      <c r="I5" s="14">
        <v>1000</v>
      </c>
      <c r="J5" s="14"/>
      <c r="K5" s="14"/>
      <c r="L5" s="14"/>
      <c r="M5" s="14">
        <v>1000</v>
      </c>
      <c r="N5" s="14">
        <v>1000</v>
      </c>
      <c r="O5" s="14">
        <v>1000</v>
      </c>
      <c r="P5" s="14"/>
      <c r="Q5" s="14">
        <v>1000</v>
      </c>
      <c r="R5" s="14"/>
      <c r="S5" s="16">
        <f t="shared" ref="S5:S48" si="0">SUM(E5:R5)</f>
        <v>7000</v>
      </c>
      <c r="T5" s="14">
        <v>28000</v>
      </c>
      <c r="U5" s="14">
        <v>1500</v>
      </c>
      <c r="V5" s="8">
        <f>S5+T5+U5</f>
        <v>36500</v>
      </c>
      <c r="W5" s="17"/>
      <c r="X5" s="124">
        <v>1030</v>
      </c>
      <c r="Y5" s="18">
        <f>V5-W5-X5</f>
        <v>35470</v>
      </c>
    </row>
    <row r="6" spans="1:25" x14ac:dyDescent="0.25">
      <c r="A6" s="133" t="s">
        <v>17</v>
      </c>
      <c r="B6" s="12" t="s">
        <v>18</v>
      </c>
      <c r="C6" s="12" t="s">
        <v>19</v>
      </c>
      <c r="D6" s="13" t="s">
        <v>20</v>
      </c>
      <c r="E6" s="131">
        <v>1000</v>
      </c>
      <c r="F6" s="131">
        <v>2000</v>
      </c>
      <c r="G6" s="131"/>
      <c r="H6" s="131"/>
      <c r="I6" s="131"/>
      <c r="J6" s="131">
        <v>2000</v>
      </c>
      <c r="K6" s="131"/>
      <c r="L6" s="131">
        <v>2000</v>
      </c>
      <c r="M6" s="131"/>
      <c r="N6" s="131"/>
      <c r="O6" s="131"/>
      <c r="P6" s="131">
        <v>1000</v>
      </c>
      <c r="Q6" s="131">
        <v>1000</v>
      </c>
      <c r="R6" s="131">
        <v>2000</v>
      </c>
      <c r="S6" s="131">
        <f t="shared" si="0"/>
        <v>11000</v>
      </c>
      <c r="T6" s="131">
        <v>25000</v>
      </c>
      <c r="U6" s="131">
        <v>2800</v>
      </c>
      <c r="V6" s="100">
        <f t="shared" ref="V6:V48" si="1">S6+T6+U6</f>
        <v>38800</v>
      </c>
      <c r="W6" s="17"/>
      <c r="X6" s="124">
        <v>550</v>
      </c>
      <c r="Y6" s="18">
        <f t="shared" ref="Y6:Y48" si="2">V6-W6-X6</f>
        <v>38250</v>
      </c>
    </row>
    <row r="7" spans="1:25" x14ac:dyDescent="0.25">
      <c r="A7" s="11" t="s">
        <v>21</v>
      </c>
      <c r="B7" s="12" t="s">
        <v>22</v>
      </c>
      <c r="C7" s="12" t="s">
        <v>23</v>
      </c>
      <c r="D7" s="13" t="s">
        <v>24</v>
      </c>
      <c r="E7" s="14"/>
      <c r="F7" s="14"/>
      <c r="G7" s="14"/>
      <c r="H7" s="14"/>
      <c r="I7" s="14"/>
      <c r="J7" s="14"/>
      <c r="K7" s="14"/>
      <c r="L7" s="14"/>
      <c r="M7" s="14">
        <v>1000</v>
      </c>
      <c r="N7" s="14"/>
      <c r="O7" s="14">
        <v>1000</v>
      </c>
      <c r="P7" s="14"/>
      <c r="Q7" s="14"/>
      <c r="R7" s="14"/>
      <c r="S7" s="16">
        <f t="shared" si="0"/>
        <v>2000</v>
      </c>
      <c r="T7" s="14">
        <v>20000</v>
      </c>
      <c r="U7" s="14">
        <v>1500</v>
      </c>
      <c r="V7" s="8">
        <f t="shared" si="1"/>
        <v>23500</v>
      </c>
      <c r="W7" s="19"/>
      <c r="X7" s="125"/>
      <c r="Y7" s="18">
        <f t="shared" si="2"/>
        <v>23500</v>
      </c>
    </row>
    <row r="8" spans="1:25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6">
        <f t="shared" si="0"/>
        <v>0</v>
      </c>
      <c r="T8" s="14">
        <v>9000</v>
      </c>
      <c r="U8" s="14"/>
      <c r="V8" s="8">
        <f t="shared" si="1"/>
        <v>9000</v>
      </c>
      <c r="W8" s="19"/>
      <c r="X8" s="125"/>
      <c r="Y8" s="18">
        <f t="shared" si="2"/>
        <v>9000</v>
      </c>
    </row>
    <row r="9" spans="1:25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14"/>
      <c r="F9" s="14"/>
      <c r="G9" s="14"/>
      <c r="H9" s="14"/>
      <c r="I9" s="14">
        <v>1000</v>
      </c>
      <c r="J9" s="14"/>
      <c r="K9" s="14"/>
      <c r="L9" s="14"/>
      <c r="M9" s="14"/>
      <c r="N9" s="14"/>
      <c r="O9" s="14"/>
      <c r="P9" s="14">
        <v>500</v>
      </c>
      <c r="Q9" s="14">
        <v>1000</v>
      </c>
      <c r="R9" s="14"/>
      <c r="S9" s="16">
        <f t="shared" si="0"/>
        <v>2500</v>
      </c>
      <c r="T9" s="14">
        <v>30000</v>
      </c>
      <c r="U9" s="14">
        <f>62500+23750</f>
        <v>86250</v>
      </c>
      <c r="V9" s="8">
        <f t="shared" si="1"/>
        <v>118750</v>
      </c>
      <c r="W9" s="19">
        <v>500</v>
      </c>
      <c r="X9" s="125"/>
      <c r="Y9" s="18">
        <f t="shared" si="2"/>
        <v>118250</v>
      </c>
    </row>
    <row r="10" spans="1:25" x14ac:dyDescent="0.25">
      <c r="A10" s="11" t="s">
        <v>32</v>
      </c>
      <c r="B10" s="20" t="s">
        <v>258</v>
      </c>
      <c r="C10" s="12" t="s">
        <v>34</v>
      </c>
      <c r="D10" s="13" t="s">
        <v>35</v>
      </c>
      <c r="E10" s="14">
        <v>1000</v>
      </c>
      <c r="F10" s="14">
        <v>1000</v>
      </c>
      <c r="G10" s="14"/>
      <c r="H10" s="14"/>
      <c r="I10" s="14">
        <v>500</v>
      </c>
      <c r="J10" s="14"/>
      <c r="K10" s="14"/>
      <c r="L10" s="14"/>
      <c r="M10" s="14"/>
      <c r="N10" s="14"/>
      <c r="O10" s="14"/>
      <c r="P10" s="14"/>
      <c r="Q10" s="14">
        <v>1000</v>
      </c>
      <c r="R10" s="14">
        <v>500</v>
      </c>
      <c r="S10" s="16">
        <f t="shared" si="0"/>
        <v>4000</v>
      </c>
      <c r="T10" s="14">
        <v>20000</v>
      </c>
      <c r="U10" s="14">
        <v>3820</v>
      </c>
      <c r="V10" s="8">
        <f t="shared" si="1"/>
        <v>27820</v>
      </c>
      <c r="W10" s="19"/>
      <c r="X10" s="125">
        <v>495</v>
      </c>
      <c r="Y10" s="18">
        <f t="shared" si="2"/>
        <v>27325</v>
      </c>
    </row>
    <row r="11" spans="1:25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14"/>
      <c r="F11" s="14"/>
      <c r="G11" s="14"/>
      <c r="H11" s="14">
        <v>1000</v>
      </c>
      <c r="I11" s="14">
        <v>1000</v>
      </c>
      <c r="J11" s="14"/>
      <c r="K11" s="14"/>
      <c r="L11" s="14"/>
      <c r="M11" s="14">
        <v>1000</v>
      </c>
      <c r="N11" s="14">
        <v>1000</v>
      </c>
      <c r="O11" s="14">
        <v>1000</v>
      </c>
      <c r="P11" s="14"/>
      <c r="Q11" s="14"/>
      <c r="R11" s="14"/>
      <c r="S11" s="16">
        <f t="shared" si="0"/>
        <v>5000</v>
      </c>
      <c r="T11" s="14">
        <v>50000</v>
      </c>
      <c r="U11" s="14">
        <v>5050</v>
      </c>
      <c r="V11" s="8">
        <f t="shared" si="1"/>
        <v>60050</v>
      </c>
      <c r="W11" s="19">
        <v>1105</v>
      </c>
      <c r="X11" s="125">
        <v>500</v>
      </c>
      <c r="Y11" s="18">
        <f t="shared" si="2"/>
        <v>58445</v>
      </c>
    </row>
    <row r="12" spans="1:25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14"/>
      <c r="F12" s="14"/>
      <c r="G12" s="14"/>
      <c r="H12" s="14"/>
      <c r="I12" s="14">
        <v>500</v>
      </c>
      <c r="J12" s="14"/>
      <c r="K12" s="14"/>
      <c r="L12" s="14"/>
      <c r="M12" s="14"/>
      <c r="N12" s="14"/>
      <c r="O12" s="14"/>
      <c r="P12" s="14">
        <v>500</v>
      </c>
      <c r="Q12" s="14"/>
      <c r="R12" s="14"/>
      <c r="S12" s="16">
        <f t="shared" si="0"/>
        <v>1000</v>
      </c>
      <c r="T12" s="14">
        <v>6000</v>
      </c>
      <c r="U12" s="14">
        <v>700</v>
      </c>
      <c r="V12" s="8">
        <f t="shared" si="1"/>
        <v>7700</v>
      </c>
      <c r="W12" s="19"/>
      <c r="X12" s="125">
        <v>300</v>
      </c>
      <c r="Y12" s="18">
        <f t="shared" si="2"/>
        <v>7400</v>
      </c>
    </row>
    <row r="13" spans="1:25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14"/>
      <c r="F13" s="14"/>
      <c r="G13" s="14"/>
      <c r="H13" s="14"/>
      <c r="I13" s="14">
        <v>1000</v>
      </c>
      <c r="J13" s="14"/>
      <c r="K13" s="14"/>
      <c r="L13" s="14"/>
      <c r="M13" s="14">
        <v>1000</v>
      </c>
      <c r="N13" s="14">
        <v>1000</v>
      </c>
      <c r="O13" s="14">
        <v>500</v>
      </c>
      <c r="P13" s="14">
        <v>1000</v>
      </c>
      <c r="Q13" s="14">
        <v>500</v>
      </c>
      <c r="R13" s="14">
        <v>500</v>
      </c>
      <c r="S13" s="16">
        <f t="shared" si="0"/>
        <v>5500</v>
      </c>
      <c r="T13" s="14">
        <v>30000</v>
      </c>
      <c r="U13" s="14">
        <v>9250</v>
      </c>
      <c r="V13" s="8">
        <f t="shared" si="1"/>
        <v>44750</v>
      </c>
      <c r="W13" s="19">
        <v>2400</v>
      </c>
      <c r="X13" s="125">
        <v>1030</v>
      </c>
      <c r="Y13" s="18">
        <f t="shared" si="2"/>
        <v>41320</v>
      </c>
    </row>
    <row r="14" spans="1:25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14"/>
      <c r="F14" s="14"/>
      <c r="G14" s="14">
        <v>1000</v>
      </c>
      <c r="H14" s="14"/>
      <c r="I14" s="14">
        <v>1000</v>
      </c>
      <c r="J14" s="14"/>
      <c r="K14" s="14"/>
      <c r="L14" s="14"/>
      <c r="M14" s="14">
        <v>1000</v>
      </c>
      <c r="N14" s="14">
        <v>1000</v>
      </c>
      <c r="O14" s="14">
        <v>1000</v>
      </c>
      <c r="P14" s="14"/>
      <c r="Q14" s="14"/>
      <c r="R14" s="14"/>
      <c r="S14" s="16">
        <f t="shared" si="0"/>
        <v>5000</v>
      </c>
      <c r="T14" s="14">
        <v>70000</v>
      </c>
      <c r="U14" s="14">
        <v>2830</v>
      </c>
      <c r="V14" s="8">
        <f t="shared" si="1"/>
        <v>77830</v>
      </c>
      <c r="W14" s="19"/>
      <c r="X14" s="125">
        <v>1030</v>
      </c>
      <c r="Y14" s="18">
        <f t="shared" si="2"/>
        <v>76800</v>
      </c>
    </row>
    <row r="15" spans="1:25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14"/>
      <c r="F15" s="14"/>
      <c r="G15" s="14"/>
      <c r="H15" s="14">
        <v>1000</v>
      </c>
      <c r="I15" s="14">
        <v>1000</v>
      </c>
      <c r="J15" s="14"/>
      <c r="K15" s="14"/>
      <c r="L15" s="14"/>
      <c r="M15" s="14">
        <v>1000</v>
      </c>
      <c r="N15" s="14">
        <v>1000</v>
      </c>
      <c r="O15" s="14">
        <v>1000</v>
      </c>
      <c r="P15" s="14"/>
      <c r="Q15" s="14"/>
      <c r="R15" s="14"/>
      <c r="S15" s="16">
        <f t="shared" si="0"/>
        <v>5000</v>
      </c>
      <c r="T15" s="14">
        <v>20000</v>
      </c>
      <c r="U15" s="14">
        <v>1350</v>
      </c>
      <c r="V15" s="8">
        <f t="shared" si="1"/>
        <v>26350</v>
      </c>
      <c r="W15" s="19">
        <v>300</v>
      </c>
      <c r="X15" s="125">
        <v>495</v>
      </c>
      <c r="Y15" s="18">
        <f t="shared" si="2"/>
        <v>25555</v>
      </c>
    </row>
    <row r="16" spans="1:25" x14ac:dyDescent="0.25">
      <c r="A16" s="11" t="s">
        <v>51</v>
      </c>
      <c r="B16" s="12" t="s">
        <v>52</v>
      </c>
      <c r="C16" s="12" t="s">
        <v>34</v>
      </c>
      <c r="D16" s="13" t="s">
        <v>53</v>
      </c>
      <c r="E16" s="14"/>
      <c r="F16" s="14"/>
      <c r="G16" s="14"/>
      <c r="H16" s="14">
        <v>1000</v>
      </c>
      <c r="I16" s="14"/>
      <c r="J16" s="14"/>
      <c r="K16" s="14"/>
      <c r="L16" s="14"/>
      <c r="M16" s="14">
        <v>1000</v>
      </c>
      <c r="N16" s="14">
        <v>1000</v>
      </c>
      <c r="O16" s="14">
        <v>1000</v>
      </c>
      <c r="P16" s="14"/>
      <c r="Q16" s="14"/>
      <c r="R16" s="14"/>
      <c r="S16" s="16">
        <f t="shared" si="0"/>
        <v>4000</v>
      </c>
      <c r="T16" s="14">
        <v>20000</v>
      </c>
      <c r="U16" s="14">
        <v>900</v>
      </c>
      <c r="V16" s="8">
        <f t="shared" si="1"/>
        <v>24900</v>
      </c>
      <c r="W16" s="19">
        <f>3695+1530</f>
        <v>5225</v>
      </c>
      <c r="X16" s="125">
        <v>600</v>
      </c>
      <c r="Y16" s="18">
        <f t="shared" si="2"/>
        <v>19075</v>
      </c>
    </row>
    <row r="17" spans="1:25" x14ac:dyDescent="0.25">
      <c r="A17" s="11" t="s">
        <v>54</v>
      </c>
      <c r="B17" s="12" t="s">
        <v>199</v>
      </c>
      <c r="C17" s="64" t="s">
        <v>19</v>
      </c>
      <c r="D17" s="13" t="s">
        <v>200</v>
      </c>
      <c r="E17" s="14">
        <v>1000</v>
      </c>
      <c r="F17" s="14"/>
      <c r="G17" s="14"/>
      <c r="H17" s="14"/>
      <c r="I17" s="14"/>
      <c r="J17" s="14"/>
      <c r="K17" s="14">
        <v>500</v>
      </c>
      <c r="L17" s="14"/>
      <c r="M17" s="14"/>
      <c r="N17" s="14">
        <v>1000</v>
      </c>
      <c r="O17" s="14">
        <v>1000</v>
      </c>
      <c r="P17" s="14">
        <v>2000</v>
      </c>
      <c r="Q17" s="14">
        <v>1000</v>
      </c>
      <c r="R17" s="14">
        <v>500</v>
      </c>
      <c r="S17" s="16">
        <f t="shared" si="0"/>
        <v>7000</v>
      </c>
      <c r="T17" s="14">
        <v>18000</v>
      </c>
      <c r="U17" s="14">
        <v>3000</v>
      </c>
      <c r="V17" s="8">
        <f t="shared" si="1"/>
        <v>28000</v>
      </c>
      <c r="W17" s="19"/>
      <c r="X17" s="125">
        <v>495</v>
      </c>
      <c r="Y17" s="18">
        <f t="shared" si="2"/>
        <v>27505</v>
      </c>
    </row>
    <row r="18" spans="1:25" x14ac:dyDescent="0.25">
      <c r="A18" s="11" t="s">
        <v>58</v>
      </c>
      <c r="B18" s="12" t="s">
        <v>59</v>
      </c>
      <c r="C18" s="12" t="s">
        <v>34</v>
      </c>
      <c r="D18" s="13" t="s">
        <v>60</v>
      </c>
      <c r="E18" s="14">
        <v>1000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>
        <v>1000</v>
      </c>
      <c r="R18" s="14"/>
      <c r="S18" s="16">
        <f t="shared" si="0"/>
        <v>2000</v>
      </c>
      <c r="T18" s="14">
        <v>35000</v>
      </c>
      <c r="U18" s="14">
        <v>1000</v>
      </c>
      <c r="V18" s="8">
        <f t="shared" si="1"/>
        <v>38000</v>
      </c>
      <c r="W18" s="19"/>
      <c r="X18" s="125">
        <v>550</v>
      </c>
      <c r="Y18" s="18">
        <f t="shared" si="2"/>
        <v>37450</v>
      </c>
    </row>
    <row r="19" spans="1:25" x14ac:dyDescent="0.25">
      <c r="A19" s="11" t="s">
        <v>61</v>
      </c>
      <c r="B19" s="12" t="s">
        <v>62</v>
      </c>
      <c r="C19" s="13" t="s">
        <v>19</v>
      </c>
      <c r="D19" s="13" t="s">
        <v>63</v>
      </c>
      <c r="E19" s="14">
        <v>1000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1000</v>
      </c>
      <c r="Q19" s="14">
        <v>1000</v>
      </c>
      <c r="R19" s="14">
        <v>1000</v>
      </c>
      <c r="S19" s="16">
        <f t="shared" si="0"/>
        <v>4000</v>
      </c>
      <c r="T19" s="14">
        <v>20000</v>
      </c>
      <c r="U19" s="14">
        <v>3000</v>
      </c>
      <c r="V19" s="8">
        <f t="shared" si="1"/>
        <v>27000</v>
      </c>
      <c r="W19" s="19"/>
      <c r="X19" s="125">
        <v>500</v>
      </c>
      <c r="Y19" s="18">
        <f t="shared" si="2"/>
        <v>26500</v>
      </c>
    </row>
    <row r="20" spans="1:25" x14ac:dyDescent="0.25">
      <c r="A20" s="11" t="s">
        <v>64</v>
      </c>
      <c r="B20" s="12" t="s">
        <v>65</v>
      </c>
      <c r="C20" s="12" t="s">
        <v>19</v>
      </c>
      <c r="D20" s="13" t="s">
        <v>66</v>
      </c>
      <c r="E20" s="14">
        <v>1000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>
        <v>1000</v>
      </c>
      <c r="R20" s="14"/>
      <c r="S20" s="16">
        <f t="shared" si="0"/>
        <v>2000</v>
      </c>
      <c r="T20" s="14">
        <v>20000</v>
      </c>
      <c r="U20" s="14">
        <v>3000</v>
      </c>
      <c r="V20" s="8">
        <f t="shared" si="1"/>
        <v>25000</v>
      </c>
      <c r="W20" s="19">
        <v>5000</v>
      </c>
      <c r="X20" s="125">
        <v>550</v>
      </c>
      <c r="Y20" s="18">
        <f t="shared" si="2"/>
        <v>19450</v>
      </c>
    </row>
    <row r="21" spans="1:25" x14ac:dyDescent="0.25">
      <c r="A21" s="11" t="s">
        <v>67</v>
      </c>
      <c r="B21" s="12" t="s">
        <v>68</v>
      </c>
      <c r="C21" s="12" t="s">
        <v>34</v>
      </c>
      <c r="D21" s="13" t="s">
        <v>69</v>
      </c>
      <c r="E21" s="14">
        <v>1000</v>
      </c>
      <c r="F21" s="14"/>
      <c r="G21" s="14"/>
      <c r="H21" s="14"/>
      <c r="I21" s="14">
        <v>500</v>
      </c>
      <c r="J21" s="14"/>
      <c r="K21" s="14"/>
      <c r="L21" s="14"/>
      <c r="M21" s="14"/>
      <c r="N21" s="14"/>
      <c r="O21" s="14"/>
      <c r="P21" s="14"/>
      <c r="Q21" s="14">
        <v>1000</v>
      </c>
      <c r="R21" s="14">
        <v>500</v>
      </c>
      <c r="S21" s="16">
        <f t="shared" si="0"/>
        <v>3000</v>
      </c>
      <c r="T21" s="14">
        <v>20000</v>
      </c>
      <c r="U21" s="14">
        <v>3250</v>
      </c>
      <c r="V21" s="8">
        <f t="shared" si="1"/>
        <v>26250</v>
      </c>
      <c r="W21" s="19"/>
      <c r="X21" s="125">
        <v>600</v>
      </c>
      <c r="Y21" s="18">
        <f t="shared" si="2"/>
        <v>25650</v>
      </c>
    </row>
    <row r="22" spans="1:25" x14ac:dyDescent="0.25">
      <c r="A22" s="11" t="s">
        <v>70</v>
      </c>
      <c r="B22" s="20" t="s">
        <v>71</v>
      </c>
      <c r="C22" s="12" t="s">
        <v>34</v>
      </c>
      <c r="D22" s="13" t="s">
        <v>72</v>
      </c>
      <c r="E22" s="14">
        <v>1000</v>
      </c>
      <c r="F22" s="14"/>
      <c r="G22" s="14"/>
      <c r="H22" s="14"/>
      <c r="I22" s="14"/>
      <c r="J22" s="14"/>
      <c r="K22" s="14">
        <v>500</v>
      </c>
      <c r="L22" s="14"/>
      <c r="M22" s="14"/>
      <c r="N22" s="14"/>
      <c r="O22" s="14"/>
      <c r="P22" s="14">
        <v>500</v>
      </c>
      <c r="Q22" s="14">
        <v>1000</v>
      </c>
      <c r="R22" s="14"/>
      <c r="S22" s="16">
        <f t="shared" si="0"/>
        <v>3000</v>
      </c>
      <c r="T22" s="14">
        <v>29000</v>
      </c>
      <c r="U22" s="14">
        <v>3000</v>
      </c>
      <c r="V22" s="8">
        <f t="shared" si="1"/>
        <v>35000</v>
      </c>
      <c r="W22" s="19"/>
      <c r="X22" s="125">
        <v>550</v>
      </c>
      <c r="Y22" s="18">
        <f t="shared" si="2"/>
        <v>34450</v>
      </c>
    </row>
    <row r="23" spans="1:25" x14ac:dyDescent="0.25">
      <c r="A23" s="11" t="s">
        <v>73</v>
      </c>
      <c r="B23" s="12" t="s">
        <v>74</v>
      </c>
      <c r="C23" s="12" t="s">
        <v>19</v>
      </c>
      <c r="D23" s="13" t="s">
        <v>75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6">
        <f t="shared" si="0"/>
        <v>0</v>
      </c>
      <c r="T23" s="14">
        <v>10000</v>
      </c>
      <c r="U23" s="14"/>
      <c r="V23" s="8">
        <f t="shared" si="1"/>
        <v>10000</v>
      </c>
      <c r="W23" s="19"/>
      <c r="X23" s="125">
        <v>300</v>
      </c>
      <c r="Y23" s="18">
        <f t="shared" si="2"/>
        <v>9700</v>
      </c>
    </row>
    <row r="24" spans="1:25" x14ac:dyDescent="0.25">
      <c r="A24" s="11" t="s">
        <v>76</v>
      </c>
      <c r="B24" s="12" t="s">
        <v>77</v>
      </c>
      <c r="C24" s="20" t="s">
        <v>269</v>
      </c>
      <c r="D24" s="13" t="s">
        <v>79</v>
      </c>
      <c r="E24" s="14">
        <v>1000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>
        <v>1000</v>
      </c>
      <c r="R24" s="14"/>
      <c r="S24" s="16">
        <f t="shared" si="0"/>
        <v>2000</v>
      </c>
      <c r="T24" s="14">
        <v>50000</v>
      </c>
      <c r="U24" s="14">
        <v>7000</v>
      </c>
      <c r="V24" s="8">
        <f t="shared" si="1"/>
        <v>59000</v>
      </c>
      <c r="W24" s="19"/>
      <c r="X24" s="125">
        <v>1031.25</v>
      </c>
      <c r="Y24" s="18">
        <f t="shared" si="2"/>
        <v>57968.75</v>
      </c>
    </row>
    <row r="25" spans="1:25" x14ac:dyDescent="0.25">
      <c r="A25" s="11" t="s">
        <v>80</v>
      </c>
      <c r="B25" s="20" t="s">
        <v>81</v>
      </c>
      <c r="C25" s="12" t="s">
        <v>27</v>
      </c>
      <c r="D25" s="13" t="s">
        <v>82</v>
      </c>
      <c r="E25" s="14"/>
      <c r="F25" s="14"/>
      <c r="G25" s="14">
        <v>1000</v>
      </c>
      <c r="H25" s="14">
        <v>1000</v>
      </c>
      <c r="I25" s="14">
        <v>1000</v>
      </c>
      <c r="J25" s="14"/>
      <c r="K25" s="14"/>
      <c r="L25" s="14"/>
      <c r="M25" s="14">
        <v>500</v>
      </c>
      <c r="N25" s="14">
        <v>1000</v>
      </c>
      <c r="O25" s="14">
        <v>1000</v>
      </c>
      <c r="P25" s="14"/>
      <c r="Q25" s="14"/>
      <c r="R25" s="14"/>
      <c r="S25" s="16">
        <f t="shared" si="0"/>
        <v>5500</v>
      </c>
      <c r="T25" s="14">
        <v>20000</v>
      </c>
      <c r="U25" s="14">
        <v>900</v>
      </c>
      <c r="V25" s="8">
        <f t="shared" si="1"/>
        <v>26400</v>
      </c>
      <c r="W25" s="19">
        <v>2100</v>
      </c>
      <c r="X25" s="125">
        <v>500</v>
      </c>
      <c r="Y25" s="18">
        <f t="shared" si="2"/>
        <v>23800</v>
      </c>
    </row>
    <row r="26" spans="1:25" x14ac:dyDescent="0.25">
      <c r="A26" s="11" t="s">
        <v>83</v>
      </c>
      <c r="B26" s="20" t="s">
        <v>84</v>
      </c>
      <c r="C26" s="12" t="s">
        <v>34</v>
      </c>
      <c r="D26" s="13" t="s">
        <v>85</v>
      </c>
      <c r="E26" s="14"/>
      <c r="F26" s="14"/>
      <c r="G26" s="14">
        <v>1000</v>
      </c>
      <c r="H26" s="14">
        <v>1000</v>
      </c>
      <c r="I26" s="14">
        <v>1000</v>
      </c>
      <c r="J26" s="14"/>
      <c r="K26" s="14"/>
      <c r="L26" s="14"/>
      <c r="M26" s="14">
        <v>1000</v>
      </c>
      <c r="N26" s="14">
        <v>1000</v>
      </c>
      <c r="O26" s="14">
        <v>1000</v>
      </c>
      <c r="P26" s="14"/>
      <c r="Q26" s="14"/>
      <c r="R26" s="14"/>
      <c r="S26" s="16">
        <f t="shared" si="0"/>
        <v>6000</v>
      </c>
      <c r="T26" s="14">
        <v>20000</v>
      </c>
      <c r="U26" s="14">
        <v>900</v>
      </c>
      <c r="V26" s="8">
        <f t="shared" si="1"/>
        <v>26900</v>
      </c>
      <c r="W26" s="19">
        <f>450+2300</f>
        <v>2750</v>
      </c>
      <c r="X26" s="125">
        <v>550</v>
      </c>
      <c r="Y26" s="18">
        <f t="shared" si="2"/>
        <v>23600</v>
      </c>
    </row>
    <row r="27" spans="1:25" x14ac:dyDescent="0.25">
      <c r="A27" s="11" t="s">
        <v>86</v>
      </c>
      <c r="B27" s="12" t="s">
        <v>87</v>
      </c>
      <c r="C27" s="12" t="s">
        <v>34</v>
      </c>
      <c r="D27" s="13" t="s">
        <v>88</v>
      </c>
      <c r="E27" s="14">
        <v>1000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>
        <v>500</v>
      </c>
      <c r="R27" s="14"/>
      <c r="S27" s="16">
        <f t="shared" si="0"/>
        <v>1500</v>
      </c>
      <c r="T27" s="14">
        <v>9000</v>
      </c>
      <c r="U27" s="14"/>
      <c r="V27" s="8">
        <f t="shared" si="1"/>
        <v>10500</v>
      </c>
      <c r="W27" s="19"/>
      <c r="X27" s="125"/>
      <c r="Y27" s="18">
        <f t="shared" si="2"/>
        <v>10500</v>
      </c>
    </row>
    <row r="28" spans="1:25" x14ac:dyDescent="0.25">
      <c r="A28" s="11" t="s">
        <v>89</v>
      </c>
      <c r="B28" s="12" t="s">
        <v>90</v>
      </c>
      <c r="C28" s="12" t="s">
        <v>56</v>
      </c>
      <c r="D28" s="13" t="s">
        <v>91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6">
        <f t="shared" si="0"/>
        <v>0</v>
      </c>
      <c r="T28" s="14">
        <v>7000</v>
      </c>
      <c r="U28" s="14"/>
      <c r="V28" s="8">
        <f t="shared" si="1"/>
        <v>7000</v>
      </c>
      <c r="W28" s="19"/>
      <c r="X28" s="125"/>
      <c r="Y28" s="18">
        <f t="shared" si="2"/>
        <v>7000</v>
      </c>
    </row>
    <row r="29" spans="1:25" x14ac:dyDescent="0.25">
      <c r="A29" s="133" t="s">
        <v>92</v>
      </c>
      <c r="B29" s="12" t="s">
        <v>93</v>
      </c>
      <c r="C29" s="12" t="s">
        <v>19</v>
      </c>
      <c r="D29" s="13" t="s">
        <v>94</v>
      </c>
      <c r="E29" s="131">
        <v>1000</v>
      </c>
      <c r="F29" s="131">
        <v>1000</v>
      </c>
      <c r="G29" s="131"/>
      <c r="H29" s="131"/>
      <c r="I29" s="131">
        <v>500</v>
      </c>
      <c r="J29" s="131"/>
      <c r="K29" s="131"/>
      <c r="L29" s="131"/>
      <c r="M29" s="131"/>
      <c r="N29" s="131"/>
      <c r="O29" s="131">
        <v>1000</v>
      </c>
      <c r="P29" s="131">
        <v>500</v>
      </c>
      <c r="Q29" s="131"/>
      <c r="R29" s="131">
        <v>1000</v>
      </c>
      <c r="S29" s="131">
        <f t="shared" si="0"/>
        <v>5000</v>
      </c>
      <c r="T29" s="131">
        <v>20000</v>
      </c>
      <c r="U29" s="131">
        <v>3000</v>
      </c>
      <c r="V29" s="100">
        <f t="shared" si="1"/>
        <v>28000</v>
      </c>
      <c r="W29" s="17">
        <v>2350</v>
      </c>
      <c r="X29" s="124">
        <v>495</v>
      </c>
      <c r="Y29" s="18">
        <f>V29-W29-X29</f>
        <v>25155</v>
      </c>
    </row>
    <row r="30" spans="1:25" x14ac:dyDescent="0.25">
      <c r="A30" s="11" t="s">
        <v>98</v>
      </c>
      <c r="B30" s="12" t="s">
        <v>99</v>
      </c>
      <c r="C30" s="12" t="s">
        <v>19</v>
      </c>
      <c r="D30" s="13" t="s">
        <v>100</v>
      </c>
      <c r="E30" s="14">
        <v>1000</v>
      </c>
      <c r="F30" s="14">
        <v>1000</v>
      </c>
      <c r="G30" s="14"/>
      <c r="H30" s="14"/>
      <c r="I30" s="14"/>
      <c r="J30" s="14"/>
      <c r="K30" s="14">
        <v>500</v>
      </c>
      <c r="L30" s="14"/>
      <c r="M30" s="14"/>
      <c r="N30" s="14"/>
      <c r="O30" s="14">
        <v>1000</v>
      </c>
      <c r="P30" s="14">
        <v>500</v>
      </c>
      <c r="Q30" s="14">
        <v>1000</v>
      </c>
      <c r="R30" s="14">
        <v>500</v>
      </c>
      <c r="S30" s="16">
        <f t="shared" si="0"/>
        <v>5500</v>
      </c>
      <c r="T30" s="14">
        <v>18000</v>
      </c>
      <c r="U30" s="14">
        <v>3000</v>
      </c>
      <c r="V30" s="8">
        <f t="shared" si="1"/>
        <v>26500</v>
      </c>
      <c r="W30" s="19">
        <v>2300</v>
      </c>
      <c r="X30" s="125">
        <v>495</v>
      </c>
      <c r="Y30" s="18">
        <f t="shared" si="2"/>
        <v>23705</v>
      </c>
    </row>
    <row r="31" spans="1:25" x14ac:dyDescent="0.25">
      <c r="A31" s="133" t="s">
        <v>101</v>
      </c>
      <c r="B31" s="12" t="s">
        <v>232</v>
      </c>
      <c r="C31" s="12" t="s">
        <v>34</v>
      </c>
      <c r="D31" s="13" t="s">
        <v>103</v>
      </c>
      <c r="E31" s="131">
        <v>1000</v>
      </c>
      <c r="F31" s="131"/>
      <c r="G31" s="131"/>
      <c r="H31" s="131"/>
      <c r="I31" s="131">
        <v>500</v>
      </c>
      <c r="J31" s="131">
        <v>1000</v>
      </c>
      <c r="K31" s="131">
        <v>1000</v>
      </c>
      <c r="L31" s="131">
        <v>1500</v>
      </c>
      <c r="M31" s="131">
        <v>500</v>
      </c>
      <c r="N31" s="131"/>
      <c r="O31" s="131">
        <v>500</v>
      </c>
      <c r="P31" s="131">
        <v>500</v>
      </c>
      <c r="Q31" s="131">
        <v>500</v>
      </c>
      <c r="R31" s="131">
        <v>500</v>
      </c>
      <c r="S31" s="131">
        <f t="shared" si="0"/>
        <v>7500</v>
      </c>
      <c r="T31" s="131">
        <v>20000</v>
      </c>
      <c r="U31" s="131">
        <v>2300</v>
      </c>
      <c r="V31" s="100">
        <f t="shared" si="1"/>
        <v>29800</v>
      </c>
      <c r="W31" s="17"/>
      <c r="X31" s="124"/>
      <c r="Y31" s="18">
        <f t="shared" si="2"/>
        <v>29800</v>
      </c>
    </row>
    <row r="32" spans="1:25" x14ac:dyDescent="0.25">
      <c r="A32" s="11" t="s">
        <v>104</v>
      </c>
      <c r="B32" s="12" t="s">
        <v>105</v>
      </c>
      <c r="C32" s="12" t="s">
        <v>34</v>
      </c>
      <c r="D32" s="13" t="s">
        <v>106</v>
      </c>
      <c r="E32" s="14"/>
      <c r="F32" s="14"/>
      <c r="G32" s="14">
        <v>1000</v>
      </c>
      <c r="H32" s="14">
        <v>1000</v>
      </c>
      <c r="I32" s="14">
        <v>1000</v>
      </c>
      <c r="J32" s="14"/>
      <c r="K32" s="14"/>
      <c r="L32" s="14"/>
      <c r="M32" s="14">
        <v>1000</v>
      </c>
      <c r="N32" s="14">
        <v>1000</v>
      </c>
      <c r="O32" s="14">
        <v>1000</v>
      </c>
      <c r="P32" s="14"/>
      <c r="Q32" s="14"/>
      <c r="R32" s="14"/>
      <c r="S32" s="16">
        <f t="shared" si="0"/>
        <v>6000</v>
      </c>
      <c r="T32" s="14">
        <v>20000</v>
      </c>
      <c r="U32" s="14">
        <v>900</v>
      </c>
      <c r="V32" s="8">
        <f t="shared" si="1"/>
        <v>26900</v>
      </c>
      <c r="W32" s="19">
        <v>2000</v>
      </c>
      <c r="X32" s="125">
        <v>500</v>
      </c>
      <c r="Y32" s="18">
        <f t="shared" si="2"/>
        <v>24400</v>
      </c>
    </row>
    <row r="33" spans="1:25" x14ac:dyDescent="0.25">
      <c r="A33" s="133" t="s">
        <v>107</v>
      </c>
      <c r="B33" s="12" t="s">
        <v>108</v>
      </c>
      <c r="C33" s="12" t="s">
        <v>19</v>
      </c>
      <c r="D33" s="13" t="s">
        <v>216</v>
      </c>
      <c r="E33" s="131">
        <v>1000</v>
      </c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>
        <v>1000</v>
      </c>
      <c r="R33" s="131"/>
      <c r="S33" s="131">
        <f t="shared" si="0"/>
        <v>2000</v>
      </c>
      <c r="T33" s="131">
        <v>20000</v>
      </c>
      <c r="U33" s="131">
        <v>3600</v>
      </c>
      <c r="V33" s="100">
        <f t="shared" si="1"/>
        <v>25600</v>
      </c>
      <c r="W33" s="17"/>
      <c r="X33" s="124">
        <v>550</v>
      </c>
      <c r="Y33" s="18">
        <f t="shared" si="2"/>
        <v>25050</v>
      </c>
    </row>
    <row r="34" spans="1:25" x14ac:dyDescent="0.25">
      <c r="A34" s="11" t="s">
        <v>110</v>
      </c>
      <c r="B34" s="12" t="s">
        <v>111</v>
      </c>
      <c r="C34" s="12" t="s">
        <v>19</v>
      </c>
      <c r="D34" s="13" t="s">
        <v>112</v>
      </c>
      <c r="E34" s="14"/>
      <c r="F34" s="14"/>
      <c r="G34" s="14"/>
      <c r="H34" s="14"/>
      <c r="I34" s="14"/>
      <c r="J34" s="14"/>
      <c r="K34" s="14"/>
      <c r="L34" s="14"/>
      <c r="M34" s="14">
        <v>1000</v>
      </c>
      <c r="N34" s="14"/>
      <c r="O34" s="14">
        <v>1000</v>
      </c>
      <c r="P34" s="14"/>
      <c r="Q34" s="14"/>
      <c r="R34" s="14"/>
      <c r="S34" s="16">
        <f t="shared" si="0"/>
        <v>2000</v>
      </c>
      <c r="T34" s="14">
        <v>30000</v>
      </c>
      <c r="U34" s="14">
        <v>800</v>
      </c>
      <c r="V34" s="8">
        <f t="shared" si="1"/>
        <v>32800</v>
      </c>
      <c r="W34" s="19">
        <v>605</v>
      </c>
      <c r="X34" s="125">
        <v>605</v>
      </c>
      <c r="Y34" s="18">
        <f>V34-W34-X34</f>
        <v>31590</v>
      </c>
    </row>
    <row r="35" spans="1:25" x14ac:dyDescent="0.25">
      <c r="A35" s="133" t="s">
        <v>113</v>
      </c>
      <c r="B35" s="20" t="s">
        <v>114</v>
      </c>
      <c r="C35" s="12" t="s">
        <v>19</v>
      </c>
      <c r="D35" s="188" t="s">
        <v>271</v>
      </c>
      <c r="E35" s="189"/>
      <c r="F35" s="189"/>
      <c r="G35" s="189"/>
      <c r="H35" s="189"/>
      <c r="I35" s="189">
        <v>1000</v>
      </c>
      <c r="J35" s="189"/>
      <c r="K35" s="189">
        <v>1000</v>
      </c>
      <c r="L35" s="189">
        <v>1000</v>
      </c>
      <c r="M35" s="189"/>
      <c r="N35" s="189"/>
      <c r="O35" s="189"/>
      <c r="P35" s="189"/>
      <c r="Q35" s="189"/>
      <c r="R35" s="189"/>
      <c r="S35" s="131">
        <f t="shared" si="0"/>
        <v>3000</v>
      </c>
      <c r="T35" s="131">
        <v>30000</v>
      </c>
      <c r="U35" s="131">
        <v>1800</v>
      </c>
      <c r="V35" s="100">
        <f t="shared" si="1"/>
        <v>34800</v>
      </c>
      <c r="W35" s="17"/>
      <c r="X35" s="124">
        <v>1030</v>
      </c>
      <c r="Y35" s="18">
        <f t="shared" si="2"/>
        <v>33770</v>
      </c>
    </row>
    <row r="36" spans="1:25" x14ac:dyDescent="0.25">
      <c r="A36" s="133" t="s">
        <v>117</v>
      </c>
      <c r="B36" s="20" t="s">
        <v>118</v>
      </c>
      <c r="C36" s="12" t="s">
        <v>19</v>
      </c>
      <c r="D36" s="143">
        <v>1347174311</v>
      </c>
      <c r="E36" s="145"/>
      <c r="F36" s="145">
        <v>1000</v>
      </c>
      <c r="G36" s="145"/>
      <c r="H36" s="145"/>
      <c r="I36" s="145">
        <v>1000</v>
      </c>
      <c r="J36" s="145">
        <v>1000</v>
      </c>
      <c r="K36" s="145">
        <v>1000</v>
      </c>
      <c r="L36" s="145">
        <v>1000</v>
      </c>
      <c r="M36" s="145">
        <v>500</v>
      </c>
      <c r="N36" s="145"/>
      <c r="O36" s="145"/>
      <c r="P36" s="145">
        <v>500</v>
      </c>
      <c r="Q36" s="145">
        <v>1000</v>
      </c>
      <c r="R36" s="145">
        <v>1000</v>
      </c>
      <c r="S36" s="131">
        <f t="shared" si="0"/>
        <v>8000</v>
      </c>
      <c r="T36" s="131">
        <v>25000</v>
      </c>
      <c r="U36" s="131">
        <v>1800</v>
      </c>
      <c r="V36" s="100">
        <f t="shared" si="1"/>
        <v>34800</v>
      </c>
      <c r="W36" s="17">
        <v>500</v>
      </c>
      <c r="X36" s="124"/>
      <c r="Y36" s="18">
        <f t="shared" si="2"/>
        <v>34300</v>
      </c>
    </row>
    <row r="37" spans="1:25" x14ac:dyDescent="0.25">
      <c r="A37" s="11" t="s">
        <v>119</v>
      </c>
      <c r="B37" s="20" t="s">
        <v>159</v>
      </c>
      <c r="C37" s="12" t="s">
        <v>34</v>
      </c>
      <c r="D37" s="118" t="s">
        <v>177</v>
      </c>
      <c r="E37" s="106"/>
      <c r="F37" s="106"/>
      <c r="G37" s="106"/>
      <c r="H37" s="106"/>
      <c r="I37" s="106">
        <v>1000</v>
      </c>
      <c r="J37" s="106"/>
      <c r="K37" s="106"/>
      <c r="L37" s="106"/>
      <c r="M37" s="106"/>
      <c r="N37" s="106"/>
      <c r="O37" s="106">
        <v>1000</v>
      </c>
      <c r="P37" s="106"/>
      <c r="Q37" s="106"/>
      <c r="R37" s="106"/>
      <c r="S37" s="16">
        <f t="shared" si="0"/>
        <v>2000</v>
      </c>
      <c r="T37" s="14">
        <v>18000</v>
      </c>
      <c r="U37" s="14">
        <v>600</v>
      </c>
      <c r="V37" s="8">
        <f t="shared" si="1"/>
        <v>20600</v>
      </c>
      <c r="W37" s="19">
        <v>2000</v>
      </c>
      <c r="X37" s="125">
        <v>500</v>
      </c>
      <c r="Y37" s="18">
        <f t="shared" si="2"/>
        <v>18100</v>
      </c>
    </row>
    <row r="38" spans="1:25" x14ac:dyDescent="0.25">
      <c r="A38" s="11" t="s">
        <v>120</v>
      </c>
      <c r="B38" s="20" t="s">
        <v>121</v>
      </c>
      <c r="C38" s="12" t="s">
        <v>23</v>
      </c>
      <c r="D38" s="118" t="s">
        <v>122</v>
      </c>
      <c r="E38" s="106">
        <v>1000</v>
      </c>
      <c r="F38" s="106"/>
      <c r="G38" s="106"/>
      <c r="H38" s="106"/>
      <c r="I38" s="106"/>
      <c r="J38" s="106"/>
      <c r="K38" s="106">
        <v>500</v>
      </c>
      <c r="L38" s="106"/>
      <c r="M38" s="106"/>
      <c r="N38" s="106"/>
      <c r="O38" s="106">
        <v>1000</v>
      </c>
      <c r="P38" s="106">
        <v>1000</v>
      </c>
      <c r="Q38" s="106">
        <v>1000</v>
      </c>
      <c r="R38" s="106">
        <v>500</v>
      </c>
      <c r="S38" s="16">
        <f t="shared" si="0"/>
        <v>5000</v>
      </c>
      <c r="T38" s="14">
        <v>25000</v>
      </c>
      <c r="U38" s="14">
        <v>3000</v>
      </c>
      <c r="V38" s="8">
        <f t="shared" si="1"/>
        <v>33000</v>
      </c>
      <c r="W38" s="19"/>
      <c r="X38" s="125"/>
      <c r="Y38" s="18">
        <f t="shared" si="2"/>
        <v>33000</v>
      </c>
    </row>
    <row r="39" spans="1:25" x14ac:dyDescent="0.25">
      <c r="A39" s="11" t="s">
        <v>123</v>
      </c>
      <c r="B39" s="20" t="s">
        <v>124</v>
      </c>
      <c r="C39" s="12" t="s">
        <v>34</v>
      </c>
      <c r="D39" s="118" t="s">
        <v>125</v>
      </c>
      <c r="E39" s="106"/>
      <c r="F39" s="106"/>
      <c r="G39" s="106"/>
      <c r="H39" s="106"/>
      <c r="I39" s="106">
        <v>1000</v>
      </c>
      <c r="J39" s="106"/>
      <c r="K39" s="106">
        <v>1000</v>
      </c>
      <c r="L39" s="106"/>
      <c r="M39" s="106"/>
      <c r="N39" s="106"/>
      <c r="O39" s="106"/>
      <c r="P39" s="106">
        <v>500</v>
      </c>
      <c r="Q39" s="106">
        <v>1000</v>
      </c>
      <c r="R39" s="106"/>
      <c r="S39" s="16">
        <f t="shared" si="0"/>
        <v>3500</v>
      </c>
      <c r="T39" s="14">
        <v>20000</v>
      </c>
      <c r="U39" s="14">
        <v>3000</v>
      </c>
      <c r="V39" s="8">
        <f t="shared" si="1"/>
        <v>26500</v>
      </c>
      <c r="W39" s="19">
        <f>1400+2500</f>
        <v>3900</v>
      </c>
      <c r="X39" s="125">
        <v>550</v>
      </c>
      <c r="Y39" s="18">
        <f t="shared" si="2"/>
        <v>22050</v>
      </c>
    </row>
    <row r="40" spans="1:25" x14ac:dyDescent="0.25">
      <c r="A40" s="11" t="s">
        <v>126</v>
      </c>
      <c r="B40" s="12" t="s">
        <v>127</v>
      </c>
      <c r="C40" s="12" t="s">
        <v>27</v>
      </c>
      <c r="D40" s="118" t="s">
        <v>128</v>
      </c>
      <c r="E40" s="106">
        <v>1000</v>
      </c>
      <c r="F40" s="106">
        <v>1000</v>
      </c>
      <c r="G40" s="106"/>
      <c r="H40" s="106"/>
      <c r="I40" s="106"/>
      <c r="J40" s="106"/>
      <c r="K40" s="106"/>
      <c r="L40" s="106">
        <v>1000</v>
      </c>
      <c r="M40" s="106"/>
      <c r="N40" s="106"/>
      <c r="O40" s="106">
        <v>1000</v>
      </c>
      <c r="P40" s="106">
        <v>2000</v>
      </c>
      <c r="Q40" s="106">
        <v>1000</v>
      </c>
      <c r="R40" s="106">
        <v>1500</v>
      </c>
      <c r="S40" s="16">
        <f t="shared" si="0"/>
        <v>8500</v>
      </c>
      <c r="T40" s="14">
        <v>20000</v>
      </c>
      <c r="U40" s="14">
        <v>3000</v>
      </c>
      <c r="V40" s="8">
        <f t="shared" si="1"/>
        <v>31500</v>
      </c>
      <c r="W40" s="19">
        <v>3500</v>
      </c>
      <c r="X40" s="125">
        <v>500</v>
      </c>
      <c r="Y40" s="18">
        <f t="shared" si="2"/>
        <v>27500</v>
      </c>
    </row>
    <row r="41" spans="1:25" x14ac:dyDescent="0.25">
      <c r="A41" s="133" t="s">
        <v>129</v>
      </c>
      <c r="B41" s="12" t="s">
        <v>175</v>
      </c>
      <c r="C41" s="12" t="s">
        <v>34</v>
      </c>
      <c r="D41" s="13" t="s">
        <v>161</v>
      </c>
      <c r="E41" s="131">
        <v>1000</v>
      </c>
      <c r="F41" s="131">
        <v>1000</v>
      </c>
      <c r="G41" s="131">
        <v>1000</v>
      </c>
      <c r="H41" s="131"/>
      <c r="I41" s="131">
        <v>1000</v>
      </c>
      <c r="J41" s="131">
        <v>1000</v>
      </c>
      <c r="K41" s="131"/>
      <c r="L41" s="131">
        <v>1000</v>
      </c>
      <c r="M41" s="131"/>
      <c r="N41" s="131">
        <v>1000</v>
      </c>
      <c r="O41" s="131">
        <v>1000</v>
      </c>
      <c r="P41" s="131"/>
      <c r="Q41" s="131"/>
      <c r="R41" s="131">
        <v>1000</v>
      </c>
      <c r="S41" s="131">
        <f t="shared" si="0"/>
        <v>9000</v>
      </c>
      <c r="T41" s="131">
        <v>35000</v>
      </c>
      <c r="U41" s="131">
        <v>2800</v>
      </c>
      <c r="V41" s="100">
        <f t="shared" si="1"/>
        <v>46800</v>
      </c>
      <c r="W41" s="17">
        <v>2750</v>
      </c>
      <c r="X41" s="124">
        <v>550</v>
      </c>
      <c r="Y41" s="18">
        <f>V41-W41-X41</f>
        <v>43500</v>
      </c>
    </row>
    <row r="42" spans="1:25" x14ac:dyDescent="0.25">
      <c r="A42" s="11" t="s">
        <v>132</v>
      </c>
      <c r="B42" s="12" t="s">
        <v>176</v>
      </c>
      <c r="C42" s="12" t="s">
        <v>34</v>
      </c>
      <c r="D42" s="13" t="s">
        <v>163</v>
      </c>
      <c r="E42" s="14">
        <v>1000</v>
      </c>
      <c r="F42" s="14"/>
      <c r="G42" s="14"/>
      <c r="H42" s="14"/>
      <c r="I42" s="14"/>
      <c r="J42" s="14"/>
      <c r="K42" s="14">
        <v>500</v>
      </c>
      <c r="L42" s="14"/>
      <c r="M42" s="14"/>
      <c r="N42" s="14"/>
      <c r="O42" s="14"/>
      <c r="P42" s="14">
        <v>500</v>
      </c>
      <c r="Q42" s="14">
        <v>1000</v>
      </c>
      <c r="R42" s="14"/>
      <c r="S42" s="16">
        <f t="shared" si="0"/>
        <v>3000</v>
      </c>
      <c r="T42" s="14">
        <v>19000</v>
      </c>
      <c r="U42" s="14">
        <v>3000</v>
      </c>
      <c r="V42" s="8">
        <f t="shared" si="1"/>
        <v>25000</v>
      </c>
      <c r="W42" s="19"/>
      <c r="X42" s="125"/>
      <c r="Y42" s="18">
        <f t="shared" si="2"/>
        <v>25000</v>
      </c>
    </row>
    <row r="43" spans="1:25" x14ac:dyDescent="0.25">
      <c r="A43" s="133" t="s">
        <v>160</v>
      </c>
      <c r="B43" s="12" t="s">
        <v>228</v>
      </c>
      <c r="C43" s="12" t="s">
        <v>34</v>
      </c>
      <c r="D43" s="13" t="s">
        <v>183</v>
      </c>
      <c r="E43" s="131"/>
      <c r="F43" s="131"/>
      <c r="G43" s="131"/>
      <c r="H43" s="131"/>
      <c r="I43" s="131">
        <v>500</v>
      </c>
      <c r="J43" s="131">
        <v>1000</v>
      </c>
      <c r="K43" s="131">
        <v>1000</v>
      </c>
      <c r="L43" s="131">
        <v>1500</v>
      </c>
      <c r="M43" s="131">
        <v>500</v>
      </c>
      <c r="N43" s="131"/>
      <c r="O43" s="131"/>
      <c r="P43" s="131">
        <v>1000</v>
      </c>
      <c r="Q43" s="131">
        <v>1000</v>
      </c>
      <c r="R43" s="131"/>
      <c r="S43" s="131">
        <f t="shared" si="0"/>
        <v>6500</v>
      </c>
      <c r="T43" s="131">
        <v>25000</v>
      </c>
      <c r="U43" s="131">
        <v>2250</v>
      </c>
      <c r="V43" s="100">
        <f t="shared" si="1"/>
        <v>33750</v>
      </c>
      <c r="W43" s="17">
        <f>500+5000+450</f>
        <v>5950</v>
      </c>
      <c r="X43" s="124">
        <v>550</v>
      </c>
      <c r="Y43" s="18">
        <f t="shared" si="2"/>
        <v>27250</v>
      </c>
    </row>
    <row r="44" spans="1:25" x14ac:dyDescent="0.25">
      <c r="A44" s="133" t="s">
        <v>162</v>
      </c>
      <c r="B44" s="12" t="s">
        <v>221</v>
      </c>
      <c r="C44" s="12" t="s">
        <v>34</v>
      </c>
      <c r="D44" s="13" t="s">
        <v>222</v>
      </c>
      <c r="E44" s="131">
        <v>1000</v>
      </c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>
        <v>1000</v>
      </c>
      <c r="R44" s="131"/>
      <c r="S44" s="131">
        <f t="shared" si="0"/>
        <v>2000</v>
      </c>
      <c r="T44" s="131">
        <v>18000</v>
      </c>
      <c r="U44" s="131">
        <v>3000</v>
      </c>
      <c r="V44" s="100">
        <f t="shared" si="1"/>
        <v>23000</v>
      </c>
      <c r="W44" s="17"/>
      <c r="X44" s="124">
        <v>495</v>
      </c>
      <c r="Y44" s="18">
        <f t="shared" si="2"/>
        <v>22505</v>
      </c>
    </row>
    <row r="45" spans="1:25" x14ac:dyDescent="0.25">
      <c r="A45" s="11" t="s">
        <v>181</v>
      </c>
      <c r="B45" s="12" t="s">
        <v>225</v>
      </c>
      <c r="C45" s="12" t="s">
        <v>56</v>
      </c>
      <c r="D45" s="13" t="s">
        <v>226</v>
      </c>
      <c r="E45" s="14"/>
      <c r="F45" s="14"/>
      <c r="G45" s="14">
        <v>1000</v>
      </c>
      <c r="H45" s="14">
        <v>1000</v>
      </c>
      <c r="I45" s="14">
        <v>1000</v>
      </c>
      <c r="J45" s="14"/>
      <c r="K45" s="14"/>
      <c r="L45" s="14"/>
      <c r="M45" s="14">
        <v>1000</v>
      </c>
      <c r="N45" s="14">
        <v>1000</v>
      </c>
      <c r="O45" s="14"/>
      <c r="P45" s="14"/>
      <c r="Q45" s="14"/>
      <c r="R45" s="14"/>
      <c r="S45" s="16">
        <f t="shared" si="0"/>
        <v>5000</v>
      </c>
      <c r="T45" s="14">
        <v>25000</v>
      </c>
      <c r="U45" s="14">
        <v>900</v>
      </c>
      <c r="V45" s="8">
        <f t="shared" si="1"/>
        <v>30900</v>
      </c>
      <c r="W45" s="19">
        <f>250+2600</f>
        <v>2850</v>
      </c>
      <c r="X45" s="125">
        <v>1500</v>
      </c>
      <c r="Y45" s="18">
        <f t="shared" si="2"/>
        <v>26550</v>
      </c>
    </row>
    <row r="46" spans="1:25" x14ac:dyDescent="0.25">
      <c r="A46" s="102">
        <v>43</v>
      </c>
      <c r="B46" s="12" t="s">
        <v>257</v>
      </c>
      <c r="C46" s="12" t="s">
        <v>34</v>
      </c>
      <c r="D46" s="13" t="s">
        <v>149</v>
      </c>
      <c r="E46" s="131">
        <v>1000</v>
      </c>
      <c r="F46" s="131"/>
      <c r="G46" s="131"/>
      <c r="H46" s="131"/>
      <c r="I46" s="131">
        <v>1500</v>
      </c>
      <c r="J46" s="131"/>
      <c r="K46" s="131"/>
      <c r="L46" s="131"/>
      <c r="M46" s="131"/>
      <c r="N46" s="131"/>
      <c r="O46" s="131"/>
      <c r="P46" s="131"/>
      <c r="Q46" s="131"/>
      <c r="R46" s="131"/>
      <c r="S46" s="131">
        <f t="shared" si="0"/>
        <v>2500</v>
      </c>
      <c r="T46" s="131">
        <v>25000</v>
      </c>
      <c r="U46" s="131">
        <v>1800</v>
      </c>
      <c r="V46" s="100">
        <f t="shared" si="1"/>
        <v>29300</v>
      </c>
      <c r="W46" s="17">
        <v>2750</v>
      </c>
      <c r="X46" s="124">
        <v>550</v>
      </c>
      <c r="Y46" s="18">
        <f t="shared" si="2"/>
        <v>26000</v>
      </c>
    </row>
    <row r="47" spans="1:25" x14ac:dyDescent="0.25">
      <c r="A47" s="11" t="s">
        <v>220</v>
      </c>
      <c r="B47" s="12" t="s">
        <v>130</v>
      </c>
      <c r="C47" s="12" t="s">
        <v>27</v>
      </c>
      <c r="D47" s="13" t="s">
        <v>131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6">
        <f t="shared" si="0"/>
        <v>0</v>
      </c>
      <c r="T47" s="14">
        <v>100000</v>
      </c>
      <c r="U47" s="14"/>
      <c r="V47" s="8">
        <f t="shared" si="1"/>
        <v>100000</v>
      </c>
      <c r="W47" s="19"/>
      <c r="X47" s="125">
        <v>1375</v>
      </c>
      <c r="Y47" s="18">
        <f t="shared" si="2"/>
        <v>98625</v>
      </c>
    </row>
    <row r="48" spans="1:25" x14ac:dyDescent="0.25">
      <c r="A48" s="11" t="s">
        <v>223</v>
      </c>
      <c r="B48" s="12" t="s">
        <v>133</v>
      </c>
      <c r="C48" s="12" t="s">
        <v>27</v>
      </c>
      <c r="D48" s="53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>
        <f t="shared" si="0"/>
        <v>0</v>
      </c>
      <c r="T48" s="14">
        <v>150000</v>
      </c>
      <c r="U48" s="14"/>
      <c r="V48" s="8">
        <f t="shared" si="1"/>
        <v>150000</v>
      </c>
      <c r="W48" s="19"/>
      <c r="X48" s="125">
        <v>2000</v>
      </c>
      <c r="Y48" s="18">
        <f t="shared" si="2"/>
        <v>148000</v>
      </c>
    </row>
    <row r="49" spans="1:25" x14ac:dyDescent="0.25">
      <c r="A49" s="99"/>
      <c r="B49" s="2"/>
      <c r="C49" s="2"/>
      <c r="D49" s="53" t="s">
        <v>224</v>
      </c>
      <c r="E49" s="8">
        <f>SUM(E5:E48)</f>
        <v>20000</v>
      </c>
      <c r="F49" s="8">
        <f t="shared" ref="F49:R49" si="3">SUM(F5:F48)</f>
        <v>8000</v>
      </c>
      <c r="G49" s="8">
        <f t="shared" si="3"/>
        <v>7000</v>
      </c>
      <c r="H49" s="8">
        <f t="shared" si="3"/>
        <v>8000</v>
      </c>
      <c r="I49" s="8">
        <f t="shared" si="3"/>
        <v>19500</v>
      </c>
      <c r="J49" s="8">
        <f t="shared" si="3"/>
        <v>6000</v>
      </c>
      <c r="K49" s="8">
        <f t="shared" si="3"/>
        <v>7500</v>
      </c>
      <c r="L49" s="8">
        <f t="shared" si="3"/>
        <v>9000</v>
      </c>
      <c r="M49" s="8">
        <f t="shared" si="3"/>
        <v>13000</v>
      </c>
      <c r="N49" s="8">
        <f t="shared" si="3"/>
        <v>12000</v>
      </c>
      <c r="O49" s="8">
        <f t="shared" si="3"/>
        <v>18000</v>
      </c>
      <c r="P49" s="8">
        <f t="shared" si="3"/>
        <v>13500</v>
      </c>
      <c r="Q49" s="8">
        <f t="shared" si="3"/>
        <v>21500</v>
      </c>
      <c r="R49" s="8">
        <f t="shared" si="3"/>
        <v>11000</v>
      </c>
      <c r="S49" s="90">
        <f t="shared" ref="S49:Y49" si="4">SUM(S5:S48)</f>
        <v>174000</v>
      </c>
      <c r="T49" s="100">
        <f t="shared" si="4"/>
        <v>1249000</v>
      </c>
      <c r="U49" s="100">
        <f t="shared" si="4"/>
        <v>181550</v>
      </c>
      <c r="V49" s="100">
        <f t="shared" si="4"/>
        <v>1604550</v>
      </c>
      <c r="W49" s="111">
        <f t="shared" si="4"/>
        <v>50835</v>
      </c>
      <c r="X49" s="126">
        <f t="shared" si="4"/>
        <v>23901.25</v>
      </c>
      <c r="Y49" s="100">
        <f t="shared" si="4"/>
        <v>1529813.75</v>
      </c>
    </row>
    <row r="50" spans="1:25" x14ac:dyDescent="0.25">
      <c r="A50" s="11"/>
      <c r="B50" s="12"/>
      <c r="C50" s="12"/>
      <c r="D50" s="13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31"/>
      <c r="T50" s="14"/>
      <c r="U50" s="14"/>
      <c r="V50" s="8"/>
      <c r="W50" s="19"/>
      <c r="X50" s="125"/>
      <c r="Y50" s="18"/>
    </row>
    <row r="51" spans="1:25" x14ac:dyDescent="0.25">
      <c r="A51" s="2" t="s">
        <v>135</v>
      </c>
      <c r="B51" s="2"/>
      <c r="C51" s="2"/>
      <c r="D51" s="2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131"/>
      <c r="T51" s="14"/>
      <c r="U51" s="14"/>
      <c r="V51" s="8"/>
      <c r="W51" s="34"/>
      <c r="X51" s="127"/>
      <c r="Y51" s="2"/>
    </row>
    <row r="52" spans="1:25" x14ac:dyDescent="0.25">
      <c r="A52" s="20">
        <v>1</v>
      </c>
      <c r="B52" s="12" t="s">
        <v>136</v>
      </c>
      <c r="C52" s="12" t="s">
        <v>23</v>
      </c>
      <c r="D52" s="13" t="s">
        <v>137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6">
        <f t="shared" ref="S52:S58" si="5">SUM(E52:R52)</f>
        <v>0</v>
      </c>
      <c r="T52" s="14">
        <v>30000</v>
      </c>
      <c r="U52" s="14"/>
      <c r="V52" s="8">
        <f>S52+T52+U52</f>
        <v>30000</v>
      </c>
      <c r="W52" s="19"/>
      <c r="X52" s="125"/>
      <c r="Y52" s="18">
        <f>V52-W52-X52</f>
        <v>30000</v>
      </c>
    </row>
    <row r="53" spans="1:25" x14ac:dyDescent="0.25">
      <c r="A53" s="20">
        <v>2</v>
      </c>
      <c r="B53" s="12" t="s">
        <v>138</v>
      </c>
      <c r="C53" s="12" t="s">
        <v>16</v>
      </c>
      <c r="D53" s="13" t="s">
        <v>139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6">
        <f t="shared" si="5"/>
        <v>0</v>
      </c>
      <c r="T53" s="14">
        <v>20000</v>
      </c>
      <c r="U53" s="14"/>
      <c r="V53" s="8">
        <f t="shared" ref="V53:V57" si="6">S53+T53+U53</f>
        <v>20000</v>
      </c>
      <c r="W53" s="19"/>
      <c r="X53" s="125"/>
      <c r="Y53" s="18">
        <f t="shared" ref="Y53:Y57" si="7">V53-W53-X53</f>
        <v>20000</v>
      </c>
    </row>
    <row r="54" spans="1:25" x14ac:dyDescent="0.25">
      <c r="A54" s="20">
        <v>3</v>
      </c>
      <c r="B54" s="12" t="s">
        <v>140</v>
      </c>
      <c r="C54" s="21" t="s">
        <v>56</v>
      </c>
      <c r="D54" s="13" t="s">
        <v>141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6">
        <f t="shared" si="5"/>
        <v>0</v>
      </c>
      <c r="T54" s="14">
        <v>23000</v>
      </c>
      <c r="U54" s="14"/>
      <c r="V54" s="8">
        <f t="shared" si="6"/>
        <v>23000</v>
      </c>
      <c r="W54" s="19"/>
      <c r="X54" s="125"/>
      <c r="Y54" s="18">
        <f t="shared" si="7"/>
        <v>23000</v>
      </c>
    </row>
    <row r="55" spans="1:25" x14ac:dyDescent="0.25">
      <c r="A55" s="20">
        <v>4</v>
      </c>
      <c r="B55" s="12" t="s">
        <v>142</v>
      </c>
      <c r="C55" s="12" t="s">
        <v>34</v>
      </c>
      <c r="D55" s="13" t="s">
        <v>143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6">
        <f t="shared" si="5"/>
        <v>0</v>
      </c>
      <c r="T55" s="14">
        <v>0</v>
      </c>
      <c r="U55" s="14"/>
      <c r="V55" s="8">
        <f t="shared" si="6"/>
        <v>0</v>
      </c>
      <c r="W55" s="19"/>
      <c r="X55" s="125"/>
      <c r="Y55" s="18">
        <f t="shared" si="7"/>
        <v>0</v>
      </c>
    </row>
    <row r="56" spans="1:25" x14ac:dyDescent="0.25">
      <c r="A56" s="20">
        <v>5</v>
      </c>
      <c r="B56" s="12" t="s">
        <v>144</v>
      </c>
      <c r="C56" s="12" t="s">
        <v>16</v>
      </c>
      <c r="D56" s="13" t="s">
        <v>145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6">
        <f t="shared" si="5"/>
        <v>0</v>
      </c>
      <c r="T56" s="14">
        <v>0</v>
      </c>
      <c r="U56" s="14"/>
      <c r="V56" s="8">
        <f>S56+T56+U56</f>
        <v>0</v>
      </c>
      <c r="W56" s="19"/>
      <c r="X56" s="125"/>
      <c r="Y56" s="18">
        <f t="shared" si="7"/>
        <v>0</v>
      </c>
    </row>
    <row r="57" spans="1:25" x14ac:dyDescent="0.25">
      <c r="A57" s="20">
        <v>6</v>
      </c>
      <c r="B57" s="12" t="s">
        <v>178</v>
      </c>
      <c r="C57" s="12" t="s">
        <v>179</v>
      </c>
      <c r="D57" s="13" t="s">
        <v>180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6">
        <f t="shared" si="5"/>
        <v>0</v>
      </c>
      <c r="T57" s="14">
        <v>15000</v>
      </c>
      <c r="U57" s="14"/>
      <c r="V57" s="8">
        <f t="shared" si="6"/>
        <v>15000</v>
      </c>
      <c r="W57" s="19"/>
      <c r="X57" s="125"/>
      <c r="Y57" s="18">
        <f t="shared" si="7"/>
        <v>15000</v>
      </c>
    </row>
    <row r="58" spans="1:25" x14ac:dyDescent="0.25">
      <c r="A58" s="2"/>
      <c r="B58" s="2"/>
      <c r="C58" s="2"/>
      <c r="D58" s="53" t="s">
        <v>146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6">
        <f t="shared" si="5"/>
        <v>0</v>
      </c>
      <c r="T58" s="18">
        <f>SUM(T52:T57)</f>
        <v>88000</v>
      </c>
      <c r="U58" s="18">
        <f t="shared" ref="U58:W58" si="8">SUM(U52:U57)</f>
        <v>0</v>
      </c>
      <c r="V58" s="18">
        <f>SUM(V52:V57)</f>
        <v>88000</v>
      </c>
      <c r="W58" s="18">
        <f t="shared" si="8"/>
        <v>0</v>
      </c>
      <c r="X58" s="128"/>
      <c r="Y58" s="18">
        <f>SUM(Y52:Y57)</f>
        <v>88000</v>
      </c>
    </row>
    <row r="59" spans="1:25" x14ac:dyDescent="0.25">
      <c r="A59" s="2" t="s">
        <v>147</v>
      </c>
      <c r="B59" s="20"/>
      <c r="C59" s="20"/>
      <c r="D59" s="13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31"/>
      <c r="T59" s="14"/>
      <c r="U59" s="14"/>
      <c r="V59" s="8"/>
      <c r="W59" s="19"/>
      <c r="X59" s="125"/>
      <c r="Y59" s="2"/>
    </row>
    <row r="60" spans="1:25" x14ac:dyDescent="0.25">
      <c r="A60" s="20"/>
      <c r="B60" s="20"/>
      <c r="C60" s="20"/>
      <c r="D60" s="2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31"/>
      <c r="T60" s="20"/>
      <c r="U60" s="20"/>
      <c r="V60" s="20"/>
      <c r="W60" s="20"/>
      <c r="X60" s="129"/>
      <c r="Y60" s="20"/>
    </row>
    <row r="61" spans="1:25" x14ac:dyDescent="0.25">
      <c r="A61" s="20">
        <v>2</v>
      </c>
      <c r="B61" s="12" t="s">
        <v>150</v>
      </c>
      <c r="C61" s="12" t="s">
        <v>27</v>
      </c>
      <c r="D61" s="13" t="s">
        <v>151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6">
        <f>SUM(E61:R61)</f>
        <v>0</v>
      </c>
      <c r="T61" s="14">
        <v>30000</v>
      </c>
      <c r="U61" s="14"/>
      <c r="V61" s="8">
        <f>S61+T61+U61</f>
        <v>30000</v>
      </c>
      <c r="W61" s="19"/>
      <c r="X61" s="125"/>
      <c r="Y61" s="18">
        <f>V61-W61-X61</f>
        <v>30000</v>
      </c>
    </row>
    <row r="62" spans="1:25" x14ac:dyDescent="0.25">
      <c r="A62" s="20">
        <v>3</v>
      </c>
      <c r="B62" s="12" t="s">
        <v>152</v>
      </c>
      <c r="C62" s="12" t="s">
        <v>27</v>
      </c>
      <c r="D62" s="13" t="s">
        <v>153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6">
        <f>SUM(E62:R62)</f>
        <v>0</v>
      </c>
      <c r="T62" s="14">
        <v>25000</v>
      </c>
      <c r="U62" s="14"/>
      <c r="V62" s="8">
        <f t="shared" ref="V62:V63" si="9">S62+T62+U62</f>
        <v>25000</v>
      </c>
      <c r="W62" s="19"/>
      <c r="X62" s="125"/>
      <c r="Y62" s="18">
        <f t="shared" ref="Y62:Y63" si="10">V62-W62-X62</f>
        <v>25000</v>
      </c>
    </row>
    <row r="63" spans="1:25" x14ac:dyDescent="0.25">
      <c r="A63" s="20">
        <v>4</v>
      </c>
      <c r="B63" s="12" t="s">
        <v>154</v>
      </c>
      <c r="C63" s="12" t="s">
        <v>19</v>
      </c>
      <c r="D63" s="13" t="s">
        <v>155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6">
        <f>SUM(E63:R63)</f>
        <v>0</v>
      </c>
      <c r="T63" s="14">
        <v>20000</v>
      </c>
      <c r="U63" s="14"/>
      <c r="V63" s="8">
        <f t="shared" si="9"/>
        <v>20000</v>
      </c>
      <c r="W63" s="19">
        <v>1550</v>
      </c>
      <c r="X63" s="125"/>
      <c r="Y63" s="18">
        <f t="shared" si="10"/>
        <v>18450</v>
      </c>
    </row>
    <row r="64" spans="1:25" x14ac:dyDescent="0.25">
      <c r="A64" s="2"/>
      <c r="B64" s="2"/>
      <c r="C64" s="2"/>
      <c r="D64" s="53" t="s">
        <v>156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16">
        <f>SUM(E64:R64)</f>
        <v>0</v>
      </c>
      <c r="T64" s="8">
        <f>SUM(T61:T63)</f>
        <v>75000</v>
      </c>
      <c r="U64" s="8">
        <f t="shared" ref="U64:W64" si="11">SUM(U61:U63)</f>
        <v>0</v>
      </c>
      <c r="V64" s="8">
        <f>SUM(V61:V63)</f>
        <v>75000</v>
      </c>
      <c r="W64" s="8">
        <f t="shared" si="11"/>
        <v>1550</v>
      </c>
      <c r="X64" s="127"/>
      <c r="Y64" s="8">
        <f>SUM(Y61:Y63)</f>
        <v>73450</v>
      </c>
    </row>
    <row r="65" spans="1:25" x14ac:dyDescent="0.25">
      <c r="A65" s="2" t="s">
        <v>157</v>
      </c>
      <c r="B65" s="20"/>
      <c r="C65" s="20"/>
      <c r="D65" s="13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31"/>
      <c r="T65" s="14"/>
      <c r="U65" s="14"/>
      <c r="V65" s="8"/>
      <c r="W65" s="19"/>
      <c r="X65" s="125"/>
      <c r="Y65" s="2"/>
    </row>
    <row r="66" spans="1:25" x14ac:dyDescent="0.25">
      <c r="A66" s="20">
        <v>1</v>
      </c>
      <c r="B66" s="12" t="s">
        <v>158</v>
      </c>
      <c r="C66" s="12" t="s">
        <v>19</v>
      </c>
      <c r="D66" s="13">
        <v>1236977351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6">
        <f>SUM(E66:R66)</f>
        <v>0</v>
      </c>
      <c r="T66" s="14">
        <v>40000</v>
      </c>
      <c r="U66" s="14"/>
      <c r="V66" s="8">
        <f>T66+S66+U66</f>
        <v>40000</v>
      </c>
      <c r="W66" s="19"/>
      <c r="X66" s="125">
        <v>650</v>
      </c>
      <c r="Y66" s="18">
        <f>V66-W66-X66</f>
        <v>39350</v>
      </c>
    </row>
    <row r="67" spans="1:25" x14ac:dyDescent="0.25">
      <c r="A67" s="20"/>
      <c r="B67" s="20"/>
      <c r="C67" s="20"/>
      <c r="D67" s="2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31"/>
      <c r="T67" s="20"/>
      <c r="U67" s="20"/>
      <c r="V67" s="20"/>
      <c r="W67" s="20"/>
      <c r="X67" s="129"/>
      <c r="Y67" s="20"/>
    </row>
    <row r="68" spans="1:25" x14ac:dyDescent="0.25">
      <c r="A68" s="2" t="s">
        <v>229</v>
      </c>
      <c r="B68" s="12"/>
      <c r="C68" s="12"/>
      <c r="D68" s="13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31"/>
      <c r="T68" s="14"/>
      <c r="U68" s="14"/>
      <c r="V68" s="8"/>
      <c r="W68" s="19"/>
      <c r="X68" s="125"/>
      <c r="Y68" s="18"/>
    </row>
    <row r="69" spans="1:25" x14ac:dyDescent="0.25">
      <c r="A69" s="20">
        <v>1</v>
      </c>
      <c r="B69" s="12" t="s">
        <v>165</v>
      </c>
      <c r="C69" s="12" t="s">
        <v>27</v>
      </c>
      <c r="D69" s="13" t="s">
        <v>166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6">
        <f>SUM(E69:R69)</f>
        <v>0</v>
      </c>
      <c r="T69" s="14">
        <v>40000</v>
      </c>
      <c r="U69" s="14">
        <v>5000</v>
      </c>
      <c r="V69" s="8">
        <f>S69+T69+U69</f>
        <v>45000</v>
      </c>
      <c r="W69" s="19"/>
      <c r="X69" s="125"/>
      <c r="Y69" s="18">
        <f>V69-W69-X69</f>
        <v>45000</v>
      </c>
    </row>
    <row r="70" spans="1:25" x14ac:dyDescent="0.25">
      <c r="A70" s="20">
        <v>2</v>
      </c>
      <c r="B70" s="12" t="s">
        <v>167</v>
      </c>
      <c r="C70" s="64" t="s">
        <v>27</v>
      </c>
      <c r="D70" s="13" t="s">
        <v>169</v>
      </c>
      <c r="E70" s="14"/>
      <c r="F70" s="14"/>
      <c r="G70" s="14"/>
      <c r="H70" s="14"/>
      <c r="I70" s="14">
        <v>1000</v>
      </c>
      <c r="J70" s="14"/>
      <c r="K70" s="14">
        <v>1500</v>
      </c>
      <c r="L70" s="14"/>
      <c r="M70" s="14"/>
      <c r="N70" s="14">
        <v>1000</v>
      </c>
      <c r="O70" s="14"/>
      <c r="P70" s="14"/>
      <c r="Q70" s="14"/>
      <c r="R70" s="14"/>
      <c r="S70" s="16">
        <f>SUM(E70:R70)</f>
        <v>3500</v>
      </c>
      <c r="T70" s="14">
        <v>35000</v>
      </c>
      <c r="U70" s="14">
        <v>2300</v>
      </c>
      <c r="V70" s="8">
        <f t="shared" ref="V70:V72" si="12">S70+T70+U70</f>
        <v>40800</v>
      </c>
      <c r="W70" s="19">
        <v>5000</v>
      </c>
      <c r="X70" s="125">
        <v>605</v>
      </c>
      <c r="Y70" s="18">
        <f t="shared" ref="Y70:Y72" si="13">V70-W70-X70</f>
        <v>35195</v>
      </c>
    </row>
    <row r="71" spans="1:25" x14ac:dyDescent="0.25">
      <c r="A71" s="20">
        <v>3</v>
      </c>
      <c r="B71" s="12" t="s">
        <v>268</v>
      </c>
      <c r="C71" s="64" t="s">
        <v>27</v>
      </c>
      <c r="D71" s="13" t="s">
        <v>184</v>
      </c>
      <c r="E71" s="14"/>
      <c r="F71" s="14"/>
      <c r="G71" s="14"/>
      <c r="H71" s="14"/>
      <c r="I71" s="14">
        <v>1000</v>
      </c>
      <c r="J71" s="14"/>
      <c r="K71" s="14">
        <v>1000</v>
      </c>
      <c r="L71" s="14"/>
      <c r="M71" s="14"/>
      <c r="N71" s="14"/>
      <c r="O71" s="14"/>
      <c r="P71" s="14"/>
      <c r="Q71" s="14"/>
      <c r="R71" s="14">
        <v>500</v>
      </c>
      <c r="S71" s="16">
        <f>SUM(E71:R71)</f>
        <v>2500</v>
      </c>
      <c r="T71" s="14">
        <v>14400</v>
      </c>
      <c r="U71" s="14">
        <v>1500</v>
      </c>
      <c r="V71" s="8">
        <f t="shared" si="12"/>
        <v>18400</v>
      </c>
      <c r="W71" s="19"/>
      <c r="X71" s="125">
        <v>460</v>
      </c>
      <c r="Y71" s="18">
        <f t="shared" si="13"/>
        <v>17940</v>
      </c>
    </row>
    <row r="72" spans="1:25" x14ac:dyDescent="0.25">
      <c r="A72" s="20">
        <v>4</v>
      </c>
      <c r="B72" s="12" t="s">
        <v>171</v>
      </c>
      <c r="C72" s="12" t="s">
        <v>27</v>
      </c>
      <c r="D72" s="13" t="s">
        <v>172</v>
      </c>
      <c r="E72" s="14"/>
      <c r="F72" s="14"/>
      <c r="G72" s="14"/>
      <c r="H72" s="14"/>
      <c r="I72" s="14"/>
      <c r="J72" s="14"/>
      <c r="K72" s="14"/>
      <c r="L72" s="14"/>
      <c r="M72" s="14"/>
      <c r="N72" s="14">
        <v>1000</v>
      </c>
      <c r="O72" s="14"/>
      <c r="P72" s="14"/>
      <c r="Q72" s="14"/>
      <c r="R72" s="14"/>
      <c r="S72" s="16">
        <f>SUM(E72:R72)</f>
        <v>1000</v>
      </c>
      <c r="T72" s="14">
        <v>80000</v>
      </c>
      <c r="U72" s="14">
        <v>5000</v>
      </c>
      <c r="V72" s="8">
        <f t="shared" si="12"/>
        <v>86000</v>
      </c>
      <c r="W72" s="19"/>
      <c r="X72" s="125">
        <v>1075</v>
      </c>
      <c r="Y72" s="18">
        <f t="shared" si="13"/>
        <v>84925</v>
      </c>
    </row>
    <row r="73" spans="1:25" x14ac:dyDescent="0.25">
      <c r="A73" s="2"/>
      <c r="B73" s="2"/>
      <c r="C73" s="65"/>
      <c r="D73" s="53" t="s">
        <v>173</v>
      </c>
      <c r="E73" s="8">
        <f>SUM(E69:E72)</f>
        <v>0</v>
      </c>
      <c r="F73" s="8">
        <f t="shared" ref="F73:R73" si="14">SUM(F69:F72)</f>
        <v>0</v>
      </c>
      <c r="G73" s="8">
        <f t="shared" si="14"/>
        <v>0</v>
      </c>
      <c r="H73" s="8">
        <f t="shared" si="14"/>
        <v>0</v>
      </c>
      <c r="I73" s="8">
        <f t="shared" si="14"/>
        <v>2000</v>
      </c>
      <c r="J73" s="8">
        <f t="shared" si="14"/>
        <v>0</v>
      </c>
      <c r="K73" s="8">
        <f t="shared" si="14"/>
        <v>2500</v>
      </c>
      <c r="L73" s="8">
        <f t="shared" si="14"/>
        <v>0</v>
      </c>
      <c r="M73" s="8">
        <f t="shared" si="14"/>
        <v>0</v>
      </c>
      <c r="N73" s="8">
        <f>SUM(N69:N72)</f>
        <v>2000</v>
      </c>
      <c r="O73" s="8">
        <f t="shared" si="14"/>
        <v>0</v>
      </c>
      <c r="P73" s="8">
        <f t="shared" si="14"/>
        <v>0</v>
      </c>
      <c r="Q73" s="8">
        <f t="shared" si="14"/>
        <v>0</v>
      </c>
      <c r="R73" s="8">
        <f t="shared" si="14"/>
        <v>500</v>
      </c>
      <c r="S73" s="90">
        <f t="shared" ref="S73:Y73" si="15">SUM(S69:S72)</f>
        <v>7000</v>
      </c>
      <c r="T73" s="8">
        <f t="shared" si="15"/>
        <v>169400</v>
      </c>
      <c r="U73" s="8">
        <f t="shared" si="15"/>
        <v>13800</v>
      </c>
      <c r="V73" s="8">
        <f t="shared" si="15"/>
        <v>190200</v>
      </c>
      <c r="W73" s="34">
        <f t="shared" si="15"/>
        <v>5000</v>
      </c>
      <c r="X73" s="127">
        <f t="shared" si="15"/>
        <v>2140</v>
      </c>
      <c r="Y73" s="18">
        <f t="shared" si="15"/>
        <v>183060</v>
      </c>
    </row>
    <row r="74" spans="1:25" x14ac:dyDescent="0.25">
      <c r="A74" s="2"/>
      <c r="B74" s="2"/>
      <c r="C74" s="65"/>
      <c r="D74" s="53"/>
      <c r="E74" s="53"/>
      <c r="F74" s="53"/>
      <c r="G74" s="53"/>
      <c r="H74" s="53"/>
      <c r="I74" s="8"/>
      <c r="J74" s="53"/>
      <c r="K74" s="8"/>
      <c r="L74" s="8"/>
      <c r="M74" s="8"/>
      <c r="N74" s="8"/>
      <c r="O74" s="8"/>
      <c r="P74" s="8"/>
      <c r="Q74" s="8"/>
      <c r="R74" s="53"/>
      <c r="S74" s="16"/>
      <c r="T74" s="8"/>
      <c r="U74" s="8"/>
      <c r="V74" s="8"/>
      <c r="W74" s="34"/>
      <c r="X74" s="127"/>
      <c r="Y74" s="18"/>
    </row>
    <row r="75" spans="1:25" x14ac:dyDescent="0.25">
      <c r="A75" s="2"/>
      <c r="B75" s="2"/>
      <c r="C75" s="2"/>
      <c r="D75" s="2" t="s">
        <v>174</v>
      </c>
      <c r="E75" s="2"/>
      <c r="F75" s="2"/>
      <c r="G75" s="2"/>
      <c r="H75" s="2"/>
      <c r="I75" s="8"/>
      <c r="J75" s="2"/>
      <c r="K75" s="2"/>
      <c r="L75" s="2"/>
      <c r="M75" s="2"/>
      <c r="N75" s="2"/>
      <c r="O75" s="2"/>
      <c r="P75" s="2"/>
      <c r="Q75" s="2"/>
      <c r="R75" s="2"/>
      <c r="S75" s="8"/>
      <c r="T75" s="8">
        <f>T49+T58+T64+T66+T73</f>
        <v>1621400</v>
      </c>
      <c r="U75" s="8">
        <f>U49+U58+U64+U66+U73</f>
        <v>195350</v>
      </c>
      <c r="V75" s="8">
        <f>V49+V58+V64+V66+V73</f>
        <v>1997750</v>
      </c>
      <c r="W75" s="8">
        <f>W49+W58+W64+W66+W73</f>
        <v>57385</v>
      </c>
      <c r="X75" s="127">
        <f>X73+X66+X49</f>
        <v>26691.25</v>
      </c>
      <c r="Y75" s="8">
        <f>Y49+Y58+Y64+Y66+Y73</f>
        <v>1913673.75</v>
      </c>
    </row>
  </sheetData>
  <mergeCells count="4">
    <mergeCell ref="A1:Y1"/>
    <mergeCell ref="W3:X3"/>
    <mergeCell ref="Y3:Y4"/>
    <mergeCell ref="E3:R3"/>
  </mergeCells>
  <pageMargins left="0.7" right="0.7" top="0.75" bottom="0.75" header="0.3" footer="0.3"/>
  <pageSetup scale="6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EB36-D2C3-4AA3-8FDA-B7F9150D7C84}">
  <sheetPr>
    <pageSetUpPr fitToPage="1"/>
  </sheetPr>
  <dimension ref="A1:W77"/>
  <sheetViews>
    <sheetView zoomScale="85" zoomScaleNormal="85" workbookViewId="0">
      <selection activeCell="T2" sqref="T1:T1048576"/>
    </sheetView>
  </sheetViews>
  <sheetFormatPr defaultColWidth="7.140625" defaultRowHeight="15" x14ac:dyDescent="0.25"/>
  <cols>
    <col min="1" max="1" width="9" customWidth="1"/>
    <col min="2" max="2" width="28.42578125" bestFit="1" customWidth="1"/>
    <col min="3" max="3" width="13.5703125" bestFit="1" customWidth="1"/>
    <col min="4" max="4" width="15.42578125" bestFit="1" customWidth="1"/>
    <col min="5" max="5" width="9.5703125" hidden="1" customWidth="1"/>
    <col min="6" max="6" width="10.5703125" hidden="1" customWidth="1"/>
    <col min="7" max="7" width="9.5703125" hidden="1" customWidth="1"/>
    <col min="8" max="8" width="10.5703125" hidden="1" customWidth="1"/>
    <col min="9" max="9" width="11.5703125" hidden="1" customWidth="1"/>
    <col min="10" max="11" width="13.7109375" hidden="1" customWidth="1"/>
    <col min="12" max="16" width="10.85546875" hidden="1" customWidth="1"/>
    <col min="17" max="17" width="11.7109375" bestFit="1" customWidth="1"/>
    <col min="18" max="18" width="14.85546875" hidden="1" customWidth="1"/>
    <col min="19" max="19" width="16" bestFit="1" customWidth="1"/>
    <col min="20" max="20" width="13.28515625" hidden="1" customWidth="1"/>
    <col min="21" max="22" width="10.5703125" bestFit="1" customWidth="1"/>
    <col min="23" max="23" width="13.28515625" hidden="1" customWidth="1"/>
  </cols>
  <sheetData>
    <row r="1" spans="1:23" x14ac:dyDescent="0.25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1"/>
    </row>
    <row r="2" spans="1:23" x14ac:dyDescent="0.25">
      <c r="A2" s="116">
        <v>46174</v>
      </c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1"/>
    </row>
    <row r="3" spans="1:23" x14ac:dyDescent="0.25">
      <c r="A3" s="2" t="s">
        <v>2</v>
      </c>
      <c r="B3" s="2"/>
      <c r="C3" s="2"/>
      <c r="D3" s="2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132"/>
      <c r="Q3" s="114"/>
      <c r="R3" s="114"/>
      <c r="S3" s="114" t="s">
        <v>256</v>
      </c>
      <c r="T3" s="114"/>
      <c r="U3" s="256" t="s">
        <v>3</v>
      </c>
      <c r="V3" s="256"/>
      <c r="W3" s="255" t="s">
        <v>4</v>
      </c>
    </row>
    <row r="4" spans="1:23" x14ac:dyDescent="0.25">
      <c r="A4" s="2" t="s">
        <v>5</v>
      </c>
      <c r="B4" s="2" t="s">
        <v>6</v>
      </c>
      <c r="C4" s="2" t="s">
        <v>7</v>
      </c>
      <c r="D4" s="2" t="s">
        <v>8</v>
      </c>
      <c r="E4" s="73">
        <v>46028</v>
      </c>
      <c r="F4" s="110" t="s">
        <v>283</v>
      </c>
      <c r="G4" s="73">
        <v>46148</v>
      </c>
      <c r="H4" s="73" t="s">
        <v>284</v>
      </c>
      <c r="I4" s="73" t="s">
        <v>287</v>
      </c>
      <c r="J4" s="2" t="s">
        <v>288</v>
      </c>
      <c r="K4" s="2" t="s">
        <v>289</v>
      </c>
      <c r="L4" s="101" t="s">
        <v>290</v>
      </c>
      <c r="M4" s="101" t="s">
        <v>291</v>
      </c>
      <c r="N4" s="101" t="s">
        <v>292</v>
      </c>
      <c r="O4" s="101" t="s">
        <v>293</v>
      </c>
      <c r="P4" s="2" t="s">
        <v>294</v>
      </c>
      <c r="Q4" s="90" t="s">
        <v>9</v>
      </c>
      <c r="R4" s="8" t="s">
        <v>10</v>
      </c>
      <c r="S4" s="8" t="s">
        <v>270</v>
      </c>
      <c r="T4" s="8" t="s">
        <v>12</v>
      </c>
      <c r="U4" s="10" t="s">
        <v>13</v>
      </c>
      <c r="V4" s="123" t="s">
        <v>255</v>
      </c>
      <c r="W4" s="255"/>
    </row>
    <row r="5" spans="1:23" x14ac:dyDescent="0.25">
      <c r="A5" s="120" t="s">
        <v>14</v>
      </c>
      <c r="B5" s="12" t="s">
        <v>15</v>
      </c>
      <c r="C5" s="12" t="s">
        <v>16</v>
      </c>
      <c r="D5" s="13">
        <v>2050766384</v>
      </c>
      <c r="E5" s="14"/>
      <c r="F5" s="14">
        <v>2000</v>
      </c>
      <c r="G5" s="14">
        <v>1000</v>
      </c>
      <c r="H5" s="14"/>
      <c r="I5" s="14">
        <v>1000</v>
      </c>
      <c r="J5" s="14">
        <v>1000</v>
      </c>
      <c r="K5" s="14">
        <v>1000</v>
      </c>
      <c r="L5" s="14"/>
      <c r="M5" s="14">
        <v>1000</v>
      </c>
      <c r="N5" s="14">
        <v>1000</v>
      </c>
      <c r="O5" s="14"/>
      <c r="P5" s="14">
        <v>1000</v>
      </c>
      <c r="Q5" s="16">
        <f>SUM(E5:P5)</f>
        <v>9000</v>
      </c>
      <c r="R5" s="14">
        <v>28000</v>
      </c>
      <c r="S5" s="14">
        <v>1800</v>
      </c>
      <c r="T5" s="8">
        <f>Q5+R5+S5</f>
        <v>38800</v>
      </c>
      <c r="U5" s="17">
        <v>2865</v>
      </c>
      <c r="V5" s="124">
        <v>1030</v>
      </c>
      <c r="W5" s="18">
        <f>T5-U5-V5</f>
        <v>34905</v>
      </c>
    </row>
    <row r="6" spans="1:23" x14ac:dyDescent="0.25">
      <c r="A6" s="133" t="s">
        <v>17</v>
      </c>
      <c r="B6" s="12" t="s">
        <v>18</v>
      </c>
      <c r="C6" s="12" t="s">
        <v>19</v>
      </c>
      <c r="D6" s="13" t="s">
        <v>20</v>
      </c>
      <c r="E6" s="131">
        <v>1000</v>
      </c>
      <c r="F6" s="131"/>
      <c r="G6" s="131"/>
      <c r="H6" s="131">
        <v>1000</v>
      </c>
      <c r="I6" s="131"/>
      <c r="J6" s="131">
        <v>1000</v>
      </c>
      <c r="K6" s="131">
        <v>1000</v>
      </c>
      <c r="L6" s="131"/>
      <c r="M6" s="131"/>
      <c r="N6" s="131"/>
      <c r="O6" s="131">
        <v>1000</v>
      </c>
      <c r="P6" s="131"/>
      <c r="Q6" s="131">
        <f t="shared" ref="Q6:Q51" si="0">SUM(E6:P6)</f>
        <v>5000</v>
      </c>
      <c r="R6" s="131">
        <v>25000</v>
      </c>
      <c r="S6" s="131">
        <v>2800</v>
      </c>
      <c r="T6" s="100">
        <f t="shared" ref="T6:T51" si="1">Q6+R6+S6</f>
        <v>32800</v>
      </c>
      <c r="U6" s="17">
        <v>955</v>
      </c>
      <c r="V6" s="124">
        <v>550</v>
      </c>
      <c r="W6" s="18">
        <f t="shared" ref="W6:W51" si="2">T6-U6-V6</f>
        <v>31295</v>
      </c>
    </row>
    <row r="7" spans="1:23" x14ac:dyDescent="0.25">
      <c r="A7" s="11" t="s">
        <v>21</v>
      </c>
      <c r="B7" s="12" t="s">
        <v>22</v>
      </c>
      <c r="C7" s="12" t="s">
        <v>23</v>
      </c>
      <c r="D7" s="13" t="s">
        <v>24</v>
      </c>
      <c r="E7" s="14"/>
      <c r="F7" s="14"/>
      <c r="G7" s="14"/>
      <c r="H7" s="14">
        <v>1000</v>
      </c>
      <c r="I7" s="14"/>
      <c r="J7" s="14"/>
      <c r="K7" s="14"/>
      <c r="L7" s="14">
        <v>1000</v>
      </c>
      <c r="M7" s="14"/>
      <c r="N7" s="14"/>
      <c r="O7" s="14"/>
      <c r="P7" s="14">
        <v>1000</v>
      </c>
      <c r="Q7" s="16">
        <f t="shared" si="0"/>
        <v>3000</v>
      </c>
      <c r="R7" s="14">
        <v>20000</v>
      </c>
      <c r="S7" s="14">
        <v>1800</v>
      </c>
      <c r="T7" s="8">
        <f t="shared" si="1"/>
        <v>24800</v>
      </c>
      <c r="U7" s="19">
        <v>4190</v>
      </c>
      <c r="V7" s="125"/>
      <c r="W7" s="18">
        <f t="shared" si="2"/>
        <v>20610</v>
      </c>
    </row>
    <row r="8" spans="1:23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14">
        <v>500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6">
        <f t="shared" si="0"/>
        <v>500</v>
      </c>
      <c r="R8" s="14">
        <v>9000</v>
      </c>
      <c r="S8" s="14"/>
      <c r="T8" s="8">
        <f t="shared" si="1"/>
        <v>9500</v>
      </c>
      <c r="U8" s="19"/>
      <c r="V8" s="125"/>
      <c r="W8" s="18">
        <f t="shared" si="2"/>
        <v>9500</v>
      </c>
    </row>
    <row r="9" spans="1:23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14"/>
      <c r="F9" s="14"/>
      <c r="G9" s="14"/>
      <c r="H9" s="14">
        <v>1000</v>
      </c>
      <c r="I9" s="14"/>
      <c r="J9" s="14"/>
      <c r="K9" s="14"/>
      <c r="L9" s="14"/>
      <c r="M9" s="14"/>
      <c r="N9" s="14"/>
      <c r="O9" s="14"/>
      <c r="P9" s="14"/>
      <c r="Q9" s="16">
        <f t="shared" si="0"/>
        <v>1000</v>
      </c>
      <c r="R9" s="14">
        <v>30000</v>
      </c>
      <c r="S9" s="14">
        <v>11500</v>
      </c>
      <c r="T9" s="8">
        <f t="shared" si="1"/>
        <v>42500</v>
      </c>
      <c r="U9" s="19"/>
      <c r="V9" s="125"/>
      <c r="W9" s="18">
        <f t="shared" si="2"/>
        <v>42500</v>
      </c>
    </row>
    <row r="10" spans="1:23" x14ac:dyDescent="0.25">
      <c r="A10" s="11" t="s">
        <v>32</v>
      </c>
      <c r="B10" s="20" t="s">
        <v>258</v>
      </c>
      <c r="C10" s="12" t="s">
        <v>34</v>
      </c>
      <c r="D10" s="13" t="s">
        <v>35</v>
      </c>
      <c r="E10" s="14"/>
      <c r="F10" s="14"/>
      <c r="G10" s="14">
        <v>1000</v>
      </c>
      <c r="H10" s="14"/>
      <c r="I10" s="14">
        <v>1000</v>
      </c>
      <c r="J10" s="14"/>
      <c r="K10" s="14">
        <v>1000</v>
      </c>
      <c r="L10" s="14"/>
      <c r="M10" s="14"/>
      <c r="N10" s="14">
        <v>1000</v>
      </c>
      <c r="O10" s="14"/>
      <c r="P10" s="14"/>
      <c r="Q10" s="16">
        <f t="shared" si="0"/>
        <v>4000</v>
      </c>
      <c r="R10" s="14">
        <v>20000</v>
      </c>
      <c r="S10" s="14">
        <v>3000</v>
      </c>
      <c r="T10" s="8">
        <f t="shared" si="1"/>
        <v>27000</v>
      </c>
      <c r="U10" s="19"/>
      <c r="V10" s="125">
        <v>495</v>
      </c>
      <c r="W10" s="18">
        <f t="shared" si="2"/>
        <v>26505</v>
      </c>
    </row>
    <row r="11" spans="1:23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14"/>
      <c r="F11" s="14">
        <v>2000</v>
      </c>
      <c r="G11" s="14">
        <v>1000</v>
      </c>
      <c r="H11" s="14"/>
      <c r="I11" s="14">
        <v>1000</v>
      </c>
      <c r="J11" s="14">
        <v>1000</v>
      </c>
      <c r="K11" s="14">
        <v>2000</v>
      </c>
      <c r="L11" s="14">
        <v>1000</v>
      </c>
      <c r="M11" s="14">
        <v>1000</v>
      </c>
      <c r="N11" s="14"/>
      <c r="O11" s="14"/>
      <c r="P11" s="14">
        <v>1000</v>
      </c>
      <c r="Q11" s="16">
        <f t="shared" si="0"/>
        <v>10000</v>
      </c>
      <c r="R11" s="14">
        <v>50000</v>
      </c>
      <c r="S11" s="14">
        <v>5160</v>
      </c>
      <c r="T11" s="8">
        <f t="shared" si="1"/>
        <v>65160</v>
      </c>
      <c r="U11" s="19"/>
      <c r="V11" s="125">
        <v>500</v>
      </c>
      <c r="W11" s="18">
        <f t="shared" si="2"/>
        <v>64660</v>
      </c>
    </row>
    <row r="12" spans="1:23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6">
        <f t="shared" si="0"/>
        <v>0</v>
      </c>
      <c r="R12" s="14">
        <v>7400</v>
      </c>
      <c r="S12" s="14">
        <v>1800</v>
      </c>
      <c r="T12" s="8">
        <f t="shared" si="1"/>
        <v>9200</v>
      </c>
      <c r="U12" s="19"/>
      <c r="V12" s="125">
        <v>300</v>
      </c>
      <c r="W12" s="18">
        <f t="shared" si="2"/>
        <v>8900</v>
      </c>
    </row>
    <row r="13" spans="1:23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14">
        <v>1000</v>
      </c>
      <c r="F13" s="14">
        <v>500</v>
      </c>
      <c r="G13" s="14"/>
      <c r="H13" s="14"/>
      <c r="I13" s="14"/>
      <c r="J13" s="14"/>
      <c r="K13" s="14">
        <v>2000</v>
      </c>
      <c r="L13" s="14"/>
      <c r="M13" s="14"/>
      <c r="N13" s="14"/>
      <c r="O13" s="14"/>
      <c r="P13" s="14"/>
      <c r="Q13" s="16">
        <f t="shared" si="0"/>
        <v>3500</v>
      </c>
      <c r="R13" s="14">
        <v>30000</v>
      </c>
      <c r="S13" s="14">
        <v>3380</v>
      </c>
      <c r="T13" s="8">
        <f t="shared" si="1"/>
        <v>36880</v>
      </c>
      <c r="U13" s="19">
        <v>450</v>
      </c>
      <c r="V13" s="125">
        <v>1030</v>
      </c>
      <c r="W13" s="18">
        <f t="shared" si="2"/>
        <v>35400</v>
      </c>
    </row>
    <row r="14" spans="1:23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14"/>
      <c r="F14" s="14">
        <v>1000</v>
      </c>
      <c r="G14" s="14">
        <v>2000</v>
      </c>
      <c r="H14" s="14"/>
      <c r="I14" s="14">
        <v>1000</v>
      </c>
      <c r="J14" s="14"/>
      <c r="K14" s="14"/>
      <c r="L14" s="14"/>
      <c r="M14" s="14"/>
      <c r="N14" s="14"/>
      <c r="O14" s="14"/>
      <c r="P14" s="14">
        <v>1000</v>
      </c>
      <c r="Q14" s="16">
        <f t="shared" si="0"/>
        <v>5000</v>
      </c>
      <c r="R14" s="14">
        <v>70000</v>
      </c>
      <c r="S14" s="14">
        <v>3800</v>
      </c>
      <c r="T14" s="8">
        <f t="shared" si="1"/>
        <v>78800</v>
      </c>
      <c r="U14" s="19"/>
      <c r="V14" s="125">
        <v>1030</v>
      </c>
      <c r="W14" s="18">
        <f t="shared" si="2"/>
        <v>77770</v>
      </c>
    </row>
    <row r="15" spans="1:23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14"/>
      <c r="F15" s="14">
        <v>2000</v>
      </c>
      <c r="G15" s="14"/>
      <c r="H15" s="14"/>
      <c r="I15" s="14"/>
      <c r="J15" s="14"/>
      <c r="K15" s="14"/>
      <c r="L15" s="14">
        <v>1000</v>
      </c>
      <c r="M15" s="14">
        <v>1000</v>
      </c>
      <c r="N15" s="14"/>
      <c r="O15" s="14"/>
      <c r="P15" s="14"/>
      <c r="Q15" s="16">
        <f t="shared" si="0"/>
        <v>4000</v>
      </c>
      <c r="R15" s="14">
        <v>20000</v>
      </c>
      <c r="S15" s="14">
        <v>1800</v>
      </c>
      <c r="T15" s="8">
        <f t="shared" si="1"/>
        <v>25800</v>
      </c>
      <c r="U15" s="19">
        <v>605</v>
      </c>
      <c r="V15" s="125">
        <v>495</v>
      </c>
      <c r="W15" s="18">
        <f t="shared" si="2"/>
        <v>24700</v>
      </c>
    </row>
    <row r="16" spans="1:23" x14ac:dyDescent="0.25">
      <c r="A16" s="11" t="s">
        <v>51</v>
      </c>
      <c r="B16" s="12" t="s">
        <v>52</v>
      </c>
      <c r="C16" s="12" t="s">
        <v>34</v>
      </c>
      <c r="D16" s="13" t="s">
        <v>53</v>
      </c>
      <c r="E16" s="14"/>
      <c r="F16" s="14">
        <v>1000</v>
      </c>
      <c r="G16" s="14">
        <v>1000</v>
      </c>
      <c r="H16" s="14"/>
      <c r="I16" s="14"/>
      <c r="J16" s="14">
        <v>2000</v>
      </c>
      <c r="K16" s="14">
        <v>2000</v>
      </c>
      <c r="L16" s="14">
        <v>1000</v>
      </c>
      <c r="M16" s="14">
        <v>1000</v>
      </c>
      <c r="N16" s="14"/>
      <c r="O16" s="14"/>
      <c r="P16" s="14">
        <v>1000</v>
      </c>
      <c r="Q16" s="16">
        <f t="shared" si="0"/>
        <v>9000</v>
      </c>
      <c r="R16" s="14">
        <v>20000</v>
      </c>
      <c r="S16" s="14">
        <v>1200</v>
      </c>
      <c r="T16" s="8">
        <f t="shared" si="1"/>
        <v>30200</v>
      </c>
      <c r="U16" s="19">
        <v>3695</v>
      </c>
      <c r="V16" s="125">
        <v>600</v>
      </c>
      <c r="W16" s="18">
        <f t="shared" si="2"/>
        <v>25905</v>
      </c>
    </row>
    <row r="17" spans="1:23" x14ac:dyDescent="0.25">
      <c r="A17" s="11" t="s">
        <v>54</v>
      </c>
      <c r="B17" s="12" t="s">
        <v>199</v>
      </c>
      <c r="C17" s="64" t="s">
        <v>19</v>
      </c>
      <c r="D17" s="13" t="s">
        <v>200</v>
      </c>
      <c r="E17" s="14">
        <v>1000</v>
      </c>
      <c r="F17" s="14"/>
      <c r="G17" s="14">
        <v>1000</v>
      </c>
      <c r="H17" s="14">
        <v>1000</v>
      </c>
      <c r="I17" s="14"/>
      <c r="J17" s="14"/>
      <c r="K17" s="14"/>
      <c r="L17" s="14"/>
      <c r="M17" s="14"/>
      <c r="N17" s="14">
        <v>1000</v>
      </c>
      <c r="O17" s="14">
        <v>1000</v>
      </c>
      <c r="P17" s="14"/>
      <c r="Q17" s="16">
        <f t="shared" si="0"/>
        <v>5000</v>
      </c>
      <c r="R17" s="14">
        <v>18000</v>
      </c>
      <c r="S17" s="14">
        <v>3000</v>
      </c>
      <c r="T17" s="8">
        <f t="shared" si="1"/>
        <v>26000</v>
      </c>
      <c r="U17" s="19"/>
      <c r="V17" s="125">
        <v>495</v>
      </c>
      <c r="W17" s="18">
        <f t="shared" si="2"/>
        <v>25505</v>
      </c>
    </row>
    <row r="18" spans="1:23" x14ac:dyDescent="0.25">
      <c r="A18" s="11" t="s">
        <v>58</v>
      </c>
      <c r="B18" s="12" t="s">
        <v>59</v>
      </c>
      <c r="C18" s="12" t="s">
        <v>34</v>
      </c>
      <c r="D18" s="13" t="s">
        <v>60</v>
      </c>
      <c r="E18" s="14">
        <v>1000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6">
        <f t="shared" si="0"/>
        <v>1000</v>
      </c>
      <c r="R18" s="14">
        <v>35000</v>
      </c>
      <c r="S18" s="14">
        <v>1000</v>
      </c>
      <c r="T18" s="8">
        <f t="shared" si="1"/>
        <v>37000</v>
      </c>
      <c r="U18" s="19"/>
      <c r="V18" s="125">
        <v>550</v>
      </c>
      <c r="W18" s="18">
        <f t="shared" si="2"/>
        <v>36450</v>
      </c>
    </row>
    <row r="19" spans="1:23" x14ac:dyDescent="0.25">
      <c r="A19" s="133" t="s">
        <v>61</v>
      </c>
      <c r="B19" s="12" t="s">
        <v>62</v>
      </c>
      <c r="C19" s="13" t="s">
        <v>19</v>
      </c>
      <c r="D19" s="13" t="s">
        <v>63</v>
      </c>
      <c r="E19" s="131">
        <v>1000</v>
      </c>
      <c r="F19" s="131"/>
      <c r="G19" s="131"/>
      <c r="H19" s="131"/>
      <c r="I19" s="131"/>
      <c r="J19" s="131">
        <v>1000</v>
      </c>
      <c r="K19" s="131">
        <v>2000</v>
      </c>
      <c r="L19" s="131"/>
      <c r="M19" s="131"/>
      <c r="N19" s="131"/>
      <c r="O19" s="131"/>
      <c r="P19" s="131"/>
      <c r="Q19" s="131">
        <f t="shared" si="0"/>
        <v>4000</v>
      </c>
      <c r="R19" s="131">
        <v>20000</v>
      </c>
      <c r="S19" s="131">
        <v>3250</v>
      </c>
      <c r="T19" s="100">
        <f t="shared" si="1"/>
        <v>27250</v>
      </c>
      <c r="U19" s="17"/>
      <c r="V19" s="124">
        <v>500</v>
      </c>
      <c r="W19" s="18">
        <f t="shared" si="2"/>
        <v>26750</v>
      </c>
    </row>
    <row r="20" spans="1:23" x14ac:dyDescent="0.25">
      <c r="A20" s="11" t="s">
        <v>64</v>
      </c>
      <c r="B20" s="12" t="s">
        <v>65</v>
      </c>
      <c r="C20" s="12" t="s">
        <v>19</v>
      </c>
      <c r="D20" s="13" t="s">
        <v>66</v>
      </c>
      <c r="E20" s="14">
        <v>1000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6">
        <f t="shared" si="0"/>
        <v>1000</v>
      </c>
      <c r="R20" s="14">
        <v>20000</v>
      </c>
      <c r="S20" s="14">
        <v>3000</v>
      </c>
      <c r="T20" s="8">
        <f t="shared" si="1"/>
        <v>24000</v>
      </c>
      <c r="U20" s="19"/>
      <c r="V20" s="125">
        <v>550</v>
      </c>
      <c r="W20" s="18">
        <f t="shared" si="2"/>
        <v>23450</v>
      </c>
    </row>
    <row r="21" spans="1:23" x14ac:dyDescent="0.25">
      <c r="A21" s="11" t="s">
        <v>67</v>
      </c>
      <c r="B21" s="12" t="s">
        <v>68</v>
      </c>
      <c r="C21" s="12" t="s">
        <v>34</v>
      </c>
      <c r="D21" s="13" t="s">
        <v>69</v>
      </c>
      <c r="E21" s="14">
        <v>1000</v>
      </c>
      <c r="F21" s="14"/>
      <c r="G21" s="14"/>
      <c r="H21" s="14">
        <v>1000</v>
      </c>
      <c r="I21" s="14">
        <v>1000</v>
      </c>
      <c r="J21" s="14"/>
      <c r="K21" s="14"/>
      <c r="L21" s="14"/>
      <c r="M21" s="14"/>
      <c r="N21" s="14"/>
      <c r="O21" s="14"/>
      <c r="P21" s="14"/>
      <c r="Q21" s="16">
        <f t="shared" si="0"/>
        <v>3000</v>
      </c>
      <c r="R21" s="14">
        <v>20000</v>
      </c>
      <c r="S21" s="14">
        <v>3000</v>
      </c>
      <c r="T21" s="8">
        <f t="shared" si="1"/>
        <v>26000</v>
      </c>
      <c r="U21" s="19"/>
      <c r="V21" s="125">
        <v>600</v>
      </c>
      <c r="W21" s="18">
        <f t="shared" si="2"/>
        <v>25400</v>
      </c>
    </row>
    <row r="22" spans="1:23" x14ac:dyDescent="0.25">
      <c r="A22" s="11" t="s">
        <v>70</v>
      </c>
      <c r="B22" s="20" t="s">
        <v>71</v>
      </c>
      <c r="C22" s="12" t="s">
        <v>34</v>
      </c>
      <c r="D22" s="13" t="s">
        <v>72</v>
      </c>
      <c r="E22" s="14">
        <v>1000</v>
      </c>
      <c r="F22" s="14"/>
      <c r="G22" s="14">
        <v>1000</v>
      </c>
      <c r="H22" s="14">
        <v>1000</v>
      </c>
      <c r="I22" s="14">
        <v>1000</v>
      </c>
      <c r="J22" s="14"/>
      <c r="K22" s="14"/>
      <c r="L22" s="14"/>
      <c r="M22" s="14"/>
      <c r="N22" s="14"/>
      <c r="O22" s="14"/>
      <c r="P22" s="14"/>
      <c r="Q22" s="16">
        <f t="shared" si="0"/>
        <v>4000</v>
      </c>
      <c r="R22" s="14">
        <v>29000</v>
      </c>
      <c r="S22" s="14">
        <v>3000</v>
      </c>
      <c r="T22" s="8">
        <f t="shared" si="1"/>
        <v>36000</v>
      </c>
      <c r="U22" s="19"/>
      <c r="V22" s="125">
        <v>550</v>
      </c>
      <c r="W22" s="18">
        <f t="shared" si="2"/>
        <v>35450</v>
      </c>
    </row>
    <row r="23" spans="1:23" x14ac:dyDescent="0.25">
      <c r="A23" s="11" t="s">
        <v>73</v>
      </c>
      <c r="B23" s="12" t="s">
        <v>74</v>
      </c>
      <c r="C23" s="12" t="s">
        <v>19</v>
      </c>
      <c r="D23" s="13" t="s">
        <v>75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6">
        <f t="shared" si="0"/>
        <v>0</v>
      </c>
      <c r="R23" s="14">
        <v>10000</v>
      </c>
      <c r="S23" s="14"/>
      <c r="T23" s="8">
        <f t="shared" si="1"/>
        <v>10000</v>
      </c>
      <c r="U23" s="19"/>
      <c r="V23" s="125">
        <v>300</v>
      </c>
      <c r="W23" s="18">
        <f t="shared" si="2"/>
        <v>9700</v>
      </c>
    </row>
    <row r="24" spans="1:23" x14ac:dyDescent="0.25">
      <c r="A24" s="11" t="s">
        <v>76</v>
      </c>
      <c r="B24" s="12" t="s">
        <v>77</v>
      </c>
      <c r="C24" s="20" t="s">
        <v>269</v>
      </c>
      <c r="D24" s="13" t="s">
        <v>79</v>
      </c>
      <c r="E24" s="14">
        <v>1000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6">
        <f t="shared" si="0"/>
        <v>1000</v>
      </c>
      <c r="R24" s="14">
        <v>50000</v>
      </c>
      <c r="S24" s="14">
        <v>7000</v>
      </c>
      <c r="T24" s="8">
        <f t="shared" si="1"/>
        <v>58000</v>
      </c>
      <c r="U24" s="19"/>
      <c r="V24" s="125">
        <v>1031.25</v>
      </c>
      <c r="W24" s="18">
        <f t="shared" si="2"/>
        <v>56968.75</v>
      </c>
    </row>
    <row r="25" spans="1:23" x14ac:dyDescent="0.25">
      <c r="A25" s="11" t="s">
        <v>80</v>
      </c>
      <c r="B25" s="20" t="s">
        <v>81</v>
      </c>
      <c r="C25" s="12" t="s">
        <v>27</v>
      </c>
      <c r="D25" s="13" t="s">
        <v>82</v>
      </c>
      <c r="E25" s="14"/>
      <c r="F25" s="14">
        <v>2000</v>
      </c>
      <c r="G25" s="14"/>
      <c r="H25" s="14">
        <v>2000</v>
      </c>
      <c r="I25" s="14">
        <v>1000</v>
      </c>
      <c r="J25" s="14">
        <v>1000</v>
      </c>
      <c r="K25" s="14">
        <v>2000</v>
      </c>
      <c r="L25" s="14">
        <v>1000</v>
      </c>
      <c r="M25" s="14">
        <v>1000</v>
      </c>
      <c r="N25" s="14">
        <v>1000</v>
      </c>
      <c r="O25" s="14"/>
      <c r="P25" s="14">
        <v>1000</v>
      </c>
      <c r="Q25" s="16">
        <f t="shared" si="0"/>
        <v>12000</v>
      </c>
      <c r="R25" s="14">
        <v>20000</v>
      </c>
      <c r="S25" s="14">
        <v>1200</v>
      </c>
      <c r="T25" s="8">
        <f t="shared" si="1"/>
        <v>33200</v>
      </c>
      <c r="U25" s="19">
        <v>2000</v>
      </c>
      <c r="V25" s="125">
        <v>500</v>
      </c>
      <c r="W25" s="18">
        <f t="shared" si="2"/>
        <v>30700</v>
      </c>
    </row>
    <row r="26" spans="1:23" x14ac:dyDescent="0.25">
      <c r="A26" s="11" t="s">
        <v>83</v>
      </c>
      <c r="B26" s="20" t="s">
        <v>84</v>
      </c>
      <c r="C26" s="12" t="s">
        <v>34</v>
      </c>
      <c r="D26" s="13" t="s">
        <v>85</v>
      </c>
      <c r="E26" s="14"/>
      <c r="F26" s="14">
        <v>2000</v>
      </c>
      <c r="G26" s="14">
        <v>1000</v>
      </c>
      <c r="H26" s="14">
        <v>2000</v>
      </c>
      <c r="I26" s="14">
        <v>1000</v>
      </c>
      <c r="J26" s="14">
        <v>1000</v>
      </c>
      <c r="K26" s="14">
        <v>2000</v>
      </c>
      <c r="L26" s="14">
        <v>1000</v>
      </c>
      <c r="M26" s="14">
        <v>1000</v>
      </c>
      <c r="N26" s="14">
        <v>1000</v>
      </c>
      <c r="O26" s="14"/>
      <c r="P26" s="14">
        <v>1000</v>
      </c>
      <c r="Q26" s="16">
        <f t="shared" si="0"/>
        <v>13000</v>
      </c>
      <c r="R26" s="14">
        <v>20000</v>
      </c>
      <c r="S26" s="14">
        <v>12200</v>
      </c>
      <c r="T26" s="8">
        <f t="shared" si="1"/>
        <v>45200</v>
      </c>
      <c r="U26" s="19">
        <v>2000</v>
      </c>
      <c r="V26" s="125">
        <v>550</v>
      </c>
      <c r="W26" s="18">
        <f t="shared" si="2"/>
        <v>42650</v>
      </c>
    </row>
    <row r="27" spans="1:23" x14ac:dyDescent="0.25">
      <c r="A27" s="11" t="s">
        <v>86</v>
      </c>
      <c r="B27" s="12" t="s">
        <v>87</v>
      </c>
      <c r="C27" s="12" t="s">
        <v>34</v>
      </c>
      <c r="D27" s="13" t="s">
        <v>88</v>
      </c>
      <c r="E27" s="14">
        <v>500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6">
        <f t="shared" si="0"/>
        <v>500</v>
      </c>
      <c r="R27" s="14">
        <v>9000</v>
      </c>
      <c r="S27" s="14"/>
      <c r="T27" s="8">
        <f t="shared" si="1"/>
        <v>9500</v>
      </c>
      <c r="U27" s="19"/>
      <c r="V27" s="125"/>
      <c r="W27" s="18">
        <f t="shared" si="2"/>
        <v>9500</v>
      </c>
    </row>
    <row r="28" spans="1:23" x14ac:dyDescent="0.25">
      <c r="A28" s="11" t="s">
        <v>89</v>
      </c>
      <c r="B28" s="12" t="s">
        <v>90</v>
      </c>
      <c r="C28" s="12" t="s">
        <v>56</v>
      </c>
      <c r="D28" s="13" t="s">
        <v>91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6">
        <f t="shared" si="0"/>
        <v>0</v>
      </c>
      <c r="R28" s="14">
        <v>7000</v>
      </c>
      <c r="S28" s="14"/>
      <c r="T28" s="8">
        <f t="shared" si="1"/>
        <v>7000</v>
      </c>
      <c r="U28" s="19"/>
      <c r="V28" s="125"/>
      <c r="W28" s="18">
        <f t="shared" si="2"/>
        <v>7000</v>
      </c>
    </row>
    <row r="29" spans="1:23" x14ac:dyDescent="0.25">
      <c r="A29" s="133" t="s">
        <v>92</v>
      </c>
      <c r="B29" s="12" t="s">
        <v>272</v>
      </c>
      <c r="C29" s="12" t="s">
        <v>19</v>
      </c>
      <c r="D29" s="13" t="s">
        <v>285</v>
      </c>
      <c r="E29" s="131">
        <v>1000</v>
      </c>
      <c r="F29" s="131">
        <v>1000</v>
      </c>
      <c r="G29" s="131"/>
      <c r="H29" s="131"/>
      <c r="I29" s="131">
        <v>500</v>
      </c>
      <c r="J29" s="131">
        <v>1000</v>
      </c>
      <c r="K29" s="131"/>
      <c r="L29" s="131"/>
      <c r="M29" s="131">
        <v>500</v>
      </c>
      <c r="N29" s="131"/>
      <c r="O29" s="131"/>
      <c r="P29" s="131">
        <v>500</v>
      </c>
      <c r="Q29" s="16">
        <f t="shared" si="0"/>
        <v>4500</v>
      </c>
      <c r="R29" s="131">
        <v>25000</v>
      </c>
      <c r="S29" s="131">
        <v>1200</v>
      </c>
      <c r="T29" s="8">
        <f t="shared" si="1"/>
        <v>30700</v>
      </c>
      <c r="U29" s="17">
        <v>500</v>
      </c>
      <c r="V29" s="124">
        <v>500</v>
      </c>
      <c r="W29" s="18">
        <f t="shared" si="2"/>
        <v>29700</v>
      </c>
    </row>
    <row r="30" spans="1:23" x14ac:dyDescent="0.25">
      <c r="A30" s="11" t="s">
        <v>98</v>
      </c>
      <c r="B30" s="12" t="s">
        <v>99</v>
      </c>
      <c r="C30" s="12" t="s">
        <v>19</v>
      </c>
      <c r="D30" s="13" t="s">
        <v>100</v>
      </c>
      <c r="E30" s="14"/>
      <c r="F30" s="14"/>
      <c r="G30" s="14">
        <v>1000</v>
      </c>
      <c r="H30" s="14">
        <v>1000</v>
      </c>
      <c r="I30" s="14"/>
      <c r="J30" s="14"/>
      <c r="K30" s="14"/>
      <c r="L30" s="14"/>
      <c r="M30" s="14"/>
      <c r="N30" s="14"/>
      <c r="O30" s="14"/>
      <c r="P30" s="14"/>
      <c r="Q30" s="16">
        <f t="shared" si="0"/>
        <v>2000</v>
      </c>
      <c r="R30" s="14">
        <v>18000</v>
      </c>
      <c r="S30" s="14">
        <v>3000</v>
      </c>
      <c r="T30" s="8">
        <f t="shared" si="1"/>
        <v>23000</v>
      </c>
      <c r="U30" s="19"/>
      <c r="V30" s="125">
        <v>495</v>
      </c>
      <c r="W30" s="18">
        <f t="shared" si="2"/>
        <v>22505</v>
      </c>
    </row>
    <row r="31" spans="1:23" x14ac:dyDescent="0.25">
      <c r="A31" s="11" t="s">
        <v>101</v>
      </c>
      <c r="B31" s="12" t="s">
        <v>232</v>
      </c>
      <c r="C31" s="12" t="s">
        <v>34</v>
      </c>
      <c r="D31" s="13" t="s">
        <v>103</v>
      </c>
      <c r="E31" s="14">
        <v>1000</v>
      </c>
      <c r="F31" s="14">
        <v>500</v>
      </c>
      <c r="G31" s="14"/>
      <c r="H31" s="14">
        <v>500</v>
      </c>
      <c r="I31" s="14">
        <v>1000</v>
      </c>
      <c r="J31" s="14">
        <v>500</v>
      </c>
      <c r="K31" s="14">
        <v>1000</v>
      </c>
      <c r="L31" s="14"/>
      <c r="M31" s="14"/>
      <c r="N31" s="14"/>
      <c r="O31" s="14">
        <v>1000</v>
      </c>
      <c r="P31" s="14"/>
      <c r="Q31" s="16">
        <f t="shared" si="0"/>
        <v>5500</v>
      </c>
      <c r="R31" s="14">
        <v>20000</v>
      </c>
      <c r="S31" s="14">
        <v>2300</v>
      </c>
      <c r="T31" s="8">
        <f t="shared" si="1"/>
        <v>27800</v>
      </c>
      <c r="U31" s="19">
        <v>550</v>
      </c>
      <c r="V31" s="125">
        <v>550</v>
      </c>
      <c r="W31" s="18">
        <f t="shared" si="2"/>
        <v>26700</v>
      </c>
    </row>
    <row r="32" spans="1:23" x14ac:dyDescent="0.25">
      <c r="A32" s="11" t="s">
        <v>104</v>
      </c>
      <c r="B32" s="12" t="s">
        <v>105</v>
      </c>
      <c r="C32" s="12" t="s">
        <v>34</v>
      </c>
      <c r="D32" s="13" t="s">
        <v>106</v>
      </c>
      <c r="E32" s="14"/>
      <c r="F32" s="14">
        <v>2000</v>
      </c>
      <c r="G32" s="14">
        <v>1000</v>
      </c>
      <c r="H32" s="14">
        <v>2000</v>
      </c>
      <c r="I32" s="14">
        <v>1000</v>
      </c>
      <c r="J32" s="14">
        <v>1000</v>
      </c>
      <c r="K32" s="14">
        <v>2000</v>
      </c>
      <c r="L32" s="14">
        <v>1000</v>
      </c>
      <c r="M32" s="14">
        <v>1000</v>
      </c>
      <c r="N32" s="14"/>
      <c r="O32" s="14"/>
      <c r="P32" s="14">
        <v>1000</v>
      </c>
      <c r="Q32" s="16">
        <f t="shared" si="0"/>
        <v>12000</v>
      </c>
      <c r="R32" s="14">
        <v>20000</v>
      </c>
      <c r="S32" s="14">
        <v>1000</v>
      </c>
      <c r="T32" s="8">
        <f t="shared" si="1"/>
        <v>33000</v>
      </c>
      <c r="U32" s="19">
        <v>2430</v>
      </c>
      <c r="V32" s="125">
        <v>500</v>
      </c>
      <c r="W32" s="18">
        <f t="shared" si="2"/>
        <v>30070</v>
      </c>
    </row>
    <row r="33" spans="1:23" x14ac:dyDescent="0.25">
      <c r="A33" s="11" t="s">
        <v>107</v>
      </c>
      <c r="B33" s="12" t="s">
        <v>108</v>
      </c>
      <c r="C33" s="12" t="s">
        <v>19</v>
      </c>
      <c r="D33" s="13" t="s">
        <v>216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6">
        <f t="shared" si="0"/>
        <v>0</v>
      </c>
      <c r="R33" s="14">
        <v>20000</v>
      </c>
      <c r="S33" s="14">
        <v>3000</v>
      </c>
      <c r="T33" s="8">
        <f t="shared" si="1"/>
        <v>23000</v>
      </c>
      <c r="U33" s="19"/>
      <c r="V33" s="125">
        <v>550</v>
      </c>
      <c r="W33" s="18">
        <f t="shared" si="2"/>
        <v>22450</v>
      </c>
    </row>
    <row r="34" spans="1:23" x14ac:dyDescent="0.25">
      <c r="A34" s="11" t="s">
        <v>110</v>
      </c>
      <c r="B34" s="12" t="s">
        <v>111</v>
      </c>
      <c r="C34" s="12" t="s">
        <v>19</v>
      </c>
      <c r="D34" s="13" t="s">
        <v>112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6">
        <f t="shared" si="0"/>
        <v>0</v>
      </c>
      <c r="R34" s="14">
        <v>30000</v>
      </c>
      <c r="S34" s="14">
        <v>1000</v>
      </c>
      <c r="T34" s="8">
        <f t="shared" si="1"/>
        <v>31000</v>
      </c>
      <c r="U34" s="19">
        <v>3975</v>
      </c>
      <c r="V34" s="125">
        <v>605</v>
      </c>
      <c r="W34" s="18">
        <f t="shared" si="2"/>
        <v>26420</v>
      </c>
    </row>
    <row r="35" spans="1:23" x14ac:dyDescent="0.25">
      <c r="A35" s="11" t="s">
        <v>113</v>
      </c>
      <c r="B35" s="20" t="s">
        <v>114</v>
      </c>
      <c r="C35" s="12" t="s">
        <v>19</v>
      </c>
      <c r="D35" s="117" t="s">
        <v>271</v>
      </c>
      <c r="E35" s="14"/>
      <c r="F35" s="14"/>
      <c r="G35" s="14"/>
      <c r="H35" s="14">
        <v>1000</v>
      </c>
      <c r="I35" s="14"/>
      <c r="J35" s="14"/>
      <c r="K35" s="14"/>
      <c r="L35" s="14"/>
      <c r="M35" s="14"/>
      <c r="N35" s="14"/>
      <c r="O35" s="14"/>
      <c r="P35" s="14"/>
      <c r="Q35" s="16">
        <f t="shared" si="0"/>
        <v>1000</v>
      </c>
      <c r="R35" s="14">
        <v>30000</v>
      </c>
      <c r="S35" s="14">
        <v>1200</v>
      </c>
      <c r="T35" s="8">
        <f t="shared" si="1"/>
        <v>32200</v>
      </c>
      <c r="U35" s="19">
        <v>2500</v>
      </c>
      <c r="V35" s="125">
        <v>1030</v>
      </c>
      <c r="W35" s="18">
        <f t="shared" si="2"/>
        <v>28670</v>
      </c>
    </row>
    <row r="36" spans="1:23" x14ac:dyDescent="0.25">
      <c r="A36" s="133" t="s">
        <v>117</v>
      </c>
      <c r="B36" s="20" t="s">
        <v>118</v>
      </c>
      <c r="C36" s="12" t="s">
        <v>19</v>
      </c>
      <c r="D36" s="143">
        <v>1347174311</v>
      </c>
      <c r="E36" s="131"/>
      <c r="F36" s="131">
        <v>1000</v>
      </c>
      <c r="G36" s="131"/>
      <c r="H36" s="131">
        <v>1000</v>
      </c>
      <c r="I36" s="131">
        <v>1000</v>
      </c>
      <c r="J36" s="131">
        <v>2000</v>
      </c>
      <c r="K36" s="131">
        <v>1000</v>
      </c>
      <c r="L36" s="131"/>
      <c r="M36" s="131">
        <v>500</v>
      </c>
      <c r="N36" s="131"/>
      <c r="O36" s="131"/>
      <c r="P36" s="131">
        <v>500</v>
      </c>
      <c r="Q36" s="131">
        <f t="shared" si="0"/>
        <v>7000</v>
      </c>
      <c r="R36" s="131">
        <v>25000</v>
      </c>
      <c r="S36" s="131">
        <v>1800</v>
      </c>
      <c r="T36" s="100">
        <f t="shared" si="1"/>
        <v>33800</v>
      </c>
      <c r="U36" s="17">
        <v>550</v>
      </c>
      <c r="V36" s="124">
        <v>550</v>
      </c>
      <c r="W36" s="18">
        <f t="shared" si="2"/>
        <v>32700</v>
      </c>
    </row>
    <row r="37" spans="1:23" x14ac:dyDescent="0.25">
      <c r="A37" s="11" t="s">
        <v>119</v>
      </c>
      <c r="B37" s="20" t="s">
        <v>159</v>
      </c>
      <c r="C37" s="12" t="s">
        <v>34</v>
      </c>
      <c r="D37" s="118" t="s">
        <v>177</v>
      </c>
      <c r="E37" s="14"/>
      <c r="F37" s="14"/>
      <c r="G37" s="14"/>
      <c r="H37" s="14"/>
      <c r="I37" s="14"/>
      <c r="J37" s="14">
        <v>1000</v>
      </c>
      <c r="K37" s="14"/>
      <c r="L37" s="14">
        <v>1000</v>
      </c>
      <c r="M37" s="14">
        <v>1000</v>
      </c>
      <c r="N37" s="14">
        <v>1000</v>
      </c>
      <c r="O37" s="14"/>
      <c r="P37" s="14"/>
      <c r="Q37" s="16">
        <f t="shared" si="0"/>
        <v>4000</v>
      </c>
      <c r="R37" s="14">
        <v>18000</v>
      </c>
      <c r="S37" s="14">
        <v>1200</v>
      </c>
      <c r="T37" s="8">
        <f t="shared" si="1"/>
        <v>23200</v>
      </c>
      <c r="U37" s="19">
        <v>2000</v>
      </c>
      <c r="V37" s="125">
        <v>500</v>
      </c>
      <c r="W37" s="18">
        <f t="shared" si="2"/>
        <v>20700</v>
      </c>
    </row>
    <row r="38" spans="1:23" x14ac:dyDescent="0.25">
      <c r="A38" s="11" t="s">
        <v>120</v>
      </c>
      <c r="B38" s="20" t="s">
        <v>121</v>
      </c>
      <c r="C38" s="12" t="s">
        <v>23</v>
      </c>
      <c r="D38" s="118" t="s">
        <v>122</v>
      </c>
      <c r="E38" s="14">
        <v>1000</v>
      </c>
      <c r="F38" s="14"/>
      <c r="G38" s="14"/>
      <c r="H38" s="14">
        <v>1000</v>
      </c>
      <c r="I38" s="14">
        <v>1000</v>
      </c>
      <c r="J38" s="14">
        <v>1000</v>
      </c>
      <c r="K38" s="14"/>
      <c r="L38" s="14"/>
      <c r="M38" s="14"/>
      <c r="N38" s="14"/>
      <c r="O38" s="14">
        <v>1000</v>
      </c>
      <c r="P38" s="14"/>
      <c r="Q38" s="16">
        <f t="shared" si="0"/>
        <v>5000</v>
      </c>
      <c r="R38" s="14">
        <v>25000</v>
      </c>
      <c r="S38" s="14">
        <v>3000</v>
      </c>
      <c r="T38" s="8">
        <f t="shared" si="1"/>
        <v>33000</v>
      </c>
      <c r="U38" s="19">
        <v>550</v>
      </c>
      <c r="V38" s="125">
        <v>550</v>
      </c>
      <c r="W38" s="18">
        <f t="shared" si="2"/>
        <v>31900</v>
      </c>
    </row>
    <row r="39" spans="1:23" x14ac:dyDescent="0.25">
      <c r="A39" s="11" t="s">
        <v>123</v>
      </c>
      <c r="B39" s="20" t="s">
        <v>124</v>
      </c>
      <c r="C39" s="12" t="s">
        <v>34</v>
      </c>
      <c r="D39" s="118" t="s">
        <v>125</v>
      </c>
      <c r="E39" s="14"/>
      <c r="F39" s="14"/>
      <c r="G39" s="14">
        <v>1000</v>
      </c>
      <c r="H39" s="14">
        <v>1000</v>
      </c>
      <c r="I39" s="14">
        <v>1000</v>
      </c>
      <c r="J39" s="14"/>
      <c r="K39" s="14"/>
      <c r="L39" s="14"/>
      <c r="M39" s="14">
        <v>1000</v>
      </c>
      <c r="N39" s="14"/>
      <c r="O39" s="14"/>
      <c r="P39" s="14"/>
      <c r="Q39" s="16">
        <f t="shared" si="0"/>
        <v>4000</v>
      </c>
      <c r="R39" s="14">
        <v>20000</v>
      </c>
      <c r="S39" s="14">
        <v>3000</v>
      </c>
      <c r="T39" s="8">
        <f t="shared" si="1"/>
        <v>27000</v>
      </c>
      <c r="U39" s="19">
        <v>2500</v>
      </c>
      <c r="V39" s="125">
        <v>550</v>
      </c>
      <c r="W39" s="18">
        <f t="shared" si="2"/>
        <v>23950</v>
      </c>
    </row>
    <row r="40" spans="1:23" x14ac:dyDescent="0.25">
      <c r="A40" s="11" t="s">
        <v>126</v>
      </c>
      <c r="B40" s="12" t="s">
        <v>127</v>
      </c>
      <c r="C40" s="12" t="s">
        <v>27</v>
      </c>
      <c r="D40" s="118" t="s">
        <v>295</v>
      </c>
      <c r="E40" s="14">
        <v>1000</v>
      </c>
      <c r="F40" s="14"/>
      <c r="G40" s="14"/>
      <c r="H40" s="14">
        <v>1000</v>
      </c>
      <c r="I40" s="14"/>
      <c r="J40" s="14">
        <v>1000</v>
      </c>
      <c r="K40" s="14">
        <v>1000</v>
      </c>
      <c r="L40" s="14"/>
      <c r="M40" s="14">
        <v>1000</v>
      </c>
      <c r="N40" s="14"/>
      <c r="O40" s="14">
        <v>1000</v>
      </c>
      <c r="P40" s="14"/>
      <c r="Q40" s="16">
        <f t="shared" si="0"/>
        <v>6000</v>
      </c>
      <c r="R40" s="14">
        <v>20000</v>
      </c>
      <c r="S40" s="14">
        <v>3000</v>
      </c>
      <c r="T40" s="8">
        <f t="shared" si="1"/>
        <v>29000</v>
      </c>
      <c r="U40" s="19"/>
      <c r="V40" s="125">
        <v>500</v>
      </c>
      <c r="W40" s="18">
        <f t="shared" si="2"/>
        <v>28500</v>
      </c>
    </row>
    <row r="41" spans="1:23" x14ac:dyDescent="0.25">
      <c r="A41" s="11" t="s">
        <v>129</v>
      </c>
      <c r="B41" s="12" t="s">
        <v>175</v>
      </c>
      <c r="C41" s="12" t="s">
        <v>34</v>
      </c>
      <c r="D41" s="13" t="s">
        <v>161</v>
      </c>
      <c r="E41" s="14">
        <v>1000</v>
      </c>
      <c r="F41" s="14"/>
      <c r="G41" s="14">
        <v>1000</v>
      </c>
      <c r="H41" s="14">
        <v>1000</v>
      </c>
      <c r="I41" s="14"/>
      <c r="J41" s="14">
        <v>2000</v>
      </c>
      <c r="K41" s="14">
        <v>2000</v>
      </c>
      <c r="L41" s="14">
        <v>1000</v>
      </c>
      <c r="M41" s="14">
        <v>1000</v>
      </c>
      <c r="N41" s="14">
        <v>1000</v>
      </c>
      <c r="O41" s="14">
        <v>1000</v>
      </c>
      <c r="P41" s="14">
        <v>1000</v>
      </c>
      <c r="Q41" s="16">
        <f t="shared" si="0"/>
        <v>12000</v>
      </c>
      <c r="R41" s="14">
        <v>35000</v>
      </c>
      <c r="S41" s="14">
        <v>2800</v>
      </c>
      <c r="T41" s="8">
        <f t="shared" si="1"/>
        <v>49800</v>
      </c>
      <c r="U41" s="19">
        <v>605</v>
      </c>
      <c r="V41" s="125">
        <v>550</v>
      </c>
      <c r="W41" s="18">
        <f t="shared" si="2"/>
        <v>48645</v>
      </c>
    </row>
    <row r="42" spans="1:23" x14ac:dyDescent="0.25">
      <c r="A42" s="11" t="s">
        <v>132</v>
      </c>
      <c r="B42" s="12" t="s">
        <v>176</v>
      </c>
      <c r="C42" s="12" t="s">
        <v>34</v>
      </c>
      <c r="D42" s="13" t="s">
        <v>163</v>
      </c>
      <c r="E42" s="14"/>
      <c r="F42" s="14"/>
      <c r="G42" s="14"/>
      <c r="H42" s="14">
        <v>1000</v>
      </c>
      <c r="I42" s="14"/>
      <c r="J42" s="14"/>
      <c r="K42" s="14"/>
      <c r="L42" s="14"/>
      <c r="M42" s="14"/>
      <c r="N42" s="14"/>
      <c r="O42" s="14"/>
      <c r="P42" s="14"/>
      <c r="Q42" s="16">
        <f t="shared" si="0"/>
        <v>1000</v>
      </c>
      <c r="R42" s="14">
        <v>19000</v>
      </c>
      <c r="S42" s="14">
        <v>3000</v>
      </c>
      <c r="T42" s="8">
        <f t="shared" si="1"/>
        <v>23000</v>
      </c>
      <c r="U42" s="19">
        <v>500</v>
      </c>
      <c r="V42" s="125">
        <v>500</v>
      </c>
      <c r="W42" s="18">
        <f t="shared" si="2"/>
        <v>22000</v>
      </c>
    </row>
    <row r="43" spans="1:23" x14ac:dyDescent="0.25">
      <c r="A43" s="133" t="s">
        <v>160</v>
      </c>
      <c r="B43" s="12" t="s">
        <v>228</v>
      </c>
      <c r="C43" s="12" t="s">
        <v>34</v>
      </c>
      <c r="D43" s="13" t="s">
        <v>183</v>
      </c>
      <c r="E43" s="131"/>
      <c r="F43" s="131">
        <v>1000</v>
      </c>
      <c r="G43" s="131"/>
      <c r="H43" s="131">
        <v>1000</v>
      </c>
      <c r="I43" s="131">
        <v>500</v>
      </c>
      <c r="J43" s="131">
        <v>1000</v>
      </c>
      <c r="K43" s="131">
        <v>2000</v>
      </c>
      <c r="L43" s="131"/>
      <c r="M43" s="131"/>
      <c r="N43" s="131"/>
      <c r="O43" s="131">
        <v>1000</v>
      </c>
      <c r="P43" s="131"/>
      <c r="Q43" s="131">
        <f t="shared" si="0"/>
        <v>6500</v>
      </c>
      <c r="R43" s="131">
        <v>25000</v>
      </c>
      <c r="S43" s="131">
        <v>3680</v>
      </c>
      <c r="T43" s="100">
        <f t="shared" si="1"/>
        <v>35180</v>
      </c>
      <c r="U43" s="17">
        <v>1500</v>
      </c>
      <c r="V43" s="124">
        <v>550</v>
      </c>
      <c r="W43" s="18">
        <f t="shared" si="2"/>
        <v>33130</v>
      </c>
    </row>
    <row r="44" spans="1:23" x14ac:dyDescent="0.25">
      <c r="A44" s="133" t="s">
        <v>162</v>
      </c>
      <c r="B44" s="12" t="s">
        <v>221</v>
      </c>
      <c r="C44" s="12" t="s">
        <v>34</v>
      </c>
      <c r="D44" s="13" t="s">
        <v>222</v>
      </c>
      <c r="E44" s="131">
        <v>1000</v>
      </c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>
        <f t="shared" si="0"/>
        <v>1000</v>
      </c>
      <c r="R44" s="131">
        <v>18000</v>
      </c>
      <c r="S44" s="131">
        <v>3000</v>
      </c>
      <c r="T44" s="100">
        <f t="shared" si="1"/>
        <v>22000</v>
      </c>
      <c r="U44" s="17"/>
      <c r="V44" s="124">
        <v>495</v>
      </c>
      <c r="W44" s="18">
        <f t="shared" si="2"/>
        <v>21505</v>
      </c>
    </row>
    <row r="45" spans="1:23" x14ac:dyDescent="0.25">
      <c r="A45" s="11" t="s">
        <v>181</v>
      </c>
      <c r="B45" s="12" t="s">
        <v>225</v>
      </c>
      <c r="C45" s="12" t="s">
        <v>168</v>
      </c>
      <c r="D45" s="13" t="s">
        <v>296</v>
      </c>
      <c r="E45" s="14"/>
      <c r="F45" s="14">
        <v>1000</v>
      </c>
      <c r="G45" s="14">
        <v>1000</v>
      </c>
      <c r="H45" s="14">
        <v>2000</v>
      </c>
      <c r="I45" s="14">
        <v>1000</v>
      </c>
      <c r="J45" s="14">
        <v>2000</v>
      </c>
      <c r="K45" s="14">
        <v>2000</v>
      </c>
      <c r="L45" s="14">
        <v>1000</v>
      </c>
      <c r="M45" s="14">
        <v>1000</v>
      </c>
      <c r="N45" s="14">
        <v>1000</v>
      </c>
      <c r="O45" s="14"/>
      <c r="P45" s="14">
        <v>1000</v>
      </c>
      <c r="Q45" s="16">
        <f t="shared" si="0"/>
        <v>13000</v>
      </c>
      <c r="R45" s="14">
        <v>25000</v>
      </c>
      <c r="S45" s="14">
        <v>1200</v>
      </c>
      <c r="T45" s="8">
        <f t="shared" si="1"/>
        <v>39200</v>
      </c>
      <c r="U45" s="19">
        <v>1145</v>
      </c>
      <c r="V45" s="125">
        <v>1500</v>
      </c>
      <c r="W45" s="18">
        <f t="shared" si="2"/>
        <v>36555</v>
      </c>
    </row>
    <row r="46" spans="1:23" x14ac:dyDescent="0.25">
      <c r="A46" s="102">
        <v>43</v>
      </c>
      <c r="B46" s="12" t="s">
        <v>257</v>
      </c>
      <c r="C46" s="12" t="s">
        <v>34</v>
      </c>
      <c r="D46" s="13" t="s">
        <v>149</v>
      </c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>
        <f t="shared" si="0"/>
        <v>0</v>
      </c>
      <c r="R46" s="131">
        <v>25000</v>
      </c>
      <c r="S46" s="131">
        <v>1800</v>
      </c>
      <c r="T46" s="100">
        <f t="shared" si="1"/>
        <v>26800</v>
      </c>
      <c r="U46" s="17"/>
      <c r="V46" s="124">
        <v>550</v>
      </c>
      <c r="W46" s="18">
        <f t="shared" si="2"/>
        <v>26250</v>
      </c>
    </row>
    <row r="47" spans="1:23" x14ac:dyDescent="0.25">
      <c r="A47" s="102">
        <v>44</v>
      </c>
      <c r="B47" s="12" t="s">
        <v>275</v>
      </c>
      <c r="C47" s="12" t="s">
        <v>23</v>
      </c>
      <c r="D47" s="13" t="s">
        <v>277</v>
      </c>
      <c r="E47" s="131"/>
      <c r="F47" s="131"/>
      <c r="G47" s="131"/>
      <c r="H47" s="131">
        <v>1000</v>
      </c>
      <c r="I47" s="131"/>
      <c r="J47" s="131">
        <v>1000</v>
      </c>
      <c r="K47" s="131">
        <v>1000</v>
      </c>
      <c r="L47" s="131"/>
      <c r="M47" s="131"/>
      <c r="N47" s="131"/>
      <c r="O47" s="131">
        <v>1000</v>
      </c>
      <c r="P47" s="131"/>
      <c r="Q47" s="131">
        <f t="shared" si="0"/>
        <v>4000</v>
      </c>
      <c r="R47" s="131">
        <v>20000</v>
      </c>
      <c r="S47" s="131">
        <v>1200</v>
      </c>
      <c r="T47" s="100">
        <f t="shared" si="1"/>
        <v>25200</v>
      </c>
      <c r="U47" s="17">
        <v>1495</v>
      </c>
      <c r="V47" s="124">
        <v>500</v>
      </c>
      <c r="W47" s="18">
        <f t="shared" si="2"/>
        <v>23205</v>
      </c>
    </row>
    <row r="48" spans="1:23" x14ac:dyDescent="0.25">
      <c r="A48" s="102">
        <v>45</v>
      </c>
      <c r="B48" s="12" t="s">
        <v>286</v>
      </c>
      <c r="C48" s="12" t="s">
        <v>56</v>
      </c>
      <c r="D48" s="13" t="s">
        <v>282</v>
      </c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6">
        <f t="shared" si="0"/>
        <v>0</v>
      </c>
      <c r="R48" s="134">
        <v>10000</v>
      </c>
      <c r="S48" s="131">
        <v>1200</v>
      </c>
      <c r="T48" s="8">
        <f t="shared" si="1"/>
        <v>11200</v>
      </c>
      <c r="U48" s="17">
        <v>2500</v>
      </c>
      <c r="V48" s="124"/>
      <c r="W48" s="18">
        <f t="shared" si="2"/>
        <v>8700</v>
      </c>
    </row>
    <row r="49" spans="1:23" x14ac:dyDescent="0.25">
      <c r="A49" s="102">
        <v>46</v>
      </c>
      <c r="B49" s="12" t="s">
        <v>280</v>
      </c>
      <c r="C49" s="12" t="s">
        <v>27</v>
      </c>
      <c r="D49" s="13" t="s">
        <v>281</v>
      </c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6">
        <f t="shared" si="0"/>
        <v>0</v>
      </c>
      <c r="R49" s="131">
        <v>11400</v>
      </c>
      <c r="S49" s="131">
        <v>1200</v>
      </c>
      <c r="T49" s="8">
        <f t="shared" si="1"/>
        <v>12600</v>
      </c>
      <c r="U49" s="17"/>
      <c r="V49" s="124"/>
      <c r="W49" s="18">
        <f t="shared" si="2"/>
        <v>12600</v>
      </c>
    </row>
    <row r="50" spans="1:23" x14ac:dyDescent="0.25">
      <c r="A50" s="11" t="s">
        <v>278</v>
      </c>
      <c r="B50" s="12" t="s">
        <v>130</v>
      </c>
      <c r="C50" s="12" t="s">
        <v>27</v>
      </c>
      <c r="D50" s="13" t="s">
        <v>131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6">
        <f t="shared" si="0"/>
        <v>0</v>
      </c>
      <c r="R50" s="14">
        <v>100000</v>
      </c>
      <c r="S50" s="14"/>
      <c r="T50" s="8">
        <f t="shared" si="1"/>
        <v>100000</v>
      </c>
      <c r="U50" s="19"/>
      <c r="V50" s="125">
        <v>1375</v>
      </c>
      <c r="W50" s="18">
        <f t="shared" si="2"/>
        <v>98625</v>
      </c>
    </row>
    <row r="51" spans="1:23" x14ac:dyDescent="0.25">
      <c r="A51" s="11" t="s">
        <v>279</v>
      </c>
      <c r="B51" s="12" t="s">
        <v>133</v>
      </c>
      <c r="C51" s="12" t="s">
        <v>27</v>
      </c>
      <c r="D51" s="53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6">
        <f t="shared" si="0"/>
        <v>0</v>
      </c>
      <c r="R51" s="14">
        <v>150000</v>
      </c>
      <c r="S51" s="14"/>
      <c r="T51" s="8">
        <f t="shared" si="1"/>
        <v>150000</v>
      </c>
      <c r="U51" s="19"/>
      <c r="V51" s="125">
        <v>2000</v>
      </c>
      <c r="W51" s="18">
        <f t="shared" si="2"/>
        <v>148000</v>
      </c>
    </row>
    <row r="52" spans="1:23" x14ac:dyDescent="0.25">
      <c r="A52" s="99"/>
      <c r="B52" s="2"/>
      <c r="C52" s="2"/>
      <c r="D52" s="53" t="s">
        <v>224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90">
        <f t="shared" ref="Q52:W52" si="3">SUM(Q5:Q51)</f>
        <v>187000</v>
      </c>
      <c r="R52" s="100">
        <f t="shared" si="3"/>
        <v>1296800</v>
      </c>
      <c r="S52" s="100">
        <f t="shared" si="3"/>
        <v>118470</v>
      </c>
      <c r="T52" s="100">
        <f t="shared" si="3"/>
        <v>1602270</v>
      </c>
      <c r="U52" s="111">
        <f t="shared" si="3"/>
        <v>40060</v>
      </c>
      <c r="V52" s="126">
        <f t="shared" si="3"/>
        <v>26556.25</v>
      </c>
      <c r="W52" s="100">
        <f t="shared" si="3"/>
        <v>1535653.75</v>
      </c>
    </row>
    <row r="53" spans="1:23" x14ac:dyDescent="0.25">
      <c r="A53" s="11"/>
      <c r="B53" s="12"/>
      <c r="C53" s="12"/>
      <c r="D53" s="1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31"/>
      <c r="R53" s="14"/>
      <c r="S53" s="14"/>
      <c r="T53" s="8"/>
      <c r="U53" s="19"/>
      <c r="V53" s="125"/>
      <c r="W53" s="18"/>
    </row>
    <row r="54" spans="1:23" x14ac:dyDescent="0.25">
      <c r="A54" s="2" t="s">
        <v>135</v>
      </c>
      <c r="B54" s="2"/>
      <c r="C54" s="2"/>
      <c r="D54" s="2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31"/>
      <c r="R54" s="14"/>
      <c r="S54" s="14"/>
      <c r="T54" s="8"/>
      <c r="U54" s="34"/>
      <c r="V54" s="127"/>
      <c r="W54" s="2"/>
    </row>
    <row r="55" spans="1:23" x14ac:dyDescent="0.25">
      <c r="A55" s="20">
        <v>1</v>
      </c>
      <c r="B55" s="12" t="s">
        <v>274</v>
      </c>
      <c r="C55" s="12" t="s">
        <v>23</v>
      </c>
      <c r="D55" s="13" t="s">
        <v>137</v>
      </c>
      <c r="E55" s="14"/>
      <c r="F55" s="14"/>
      <c r="G55" s="14"/>
      <c r="H55" s="14">
        <v>1000</v>
      </c>
      <c r="I55" s="14"/>
      <c r="J55" s="14"/>
      <c r="K55" s="14"/>
      <c r="L55" s="14"/>
      <c r="M55" s="14"/>
      <c r="N55" s="14"/>
      <c r="O55" s="14"/>
      <c r="P55" s="14"/>
      <c r="Q55" s="16">
        <f>SUM(E55:P55)</f>
        <v>1000</v>
      </c>
      <c r="R55" s="14">
        <v>30000</v>
      </c>
      <c r="S55" s="14"/>
      <c r="T55" s="8">
        <f>Q55+R55+S55</f>
        <v>31000</v>
      </c>
      <c r="U55" s="19">
        <v>550</v>
      </c>
      <c r="V55" s="125">
        <v>550</v>
      </c>
      <c r="W55" s="18">
        <f>T55-U55-V55</f>
        <v>29900</v>
      </c>
    </row>
    <row r="56" spans="1:23" x14ac:dyDescent="0.25">
      <c r="A56" s="20">
        <v>2</v>
      </c>
      <c r="B56" s="12" t="s">
        <v>273</v>
      </c>
      <c r="C56" s="12" t="s">
        <v>16</v>
      </c>
      <c r="D56" s="13" t="s">
        <v>139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6">
        <f t="shared" ref="Q56:Q60" si="4">SUM(E56:P56)</f>
        <v>0</v>
      </c>
      <c r="R56" s="14">
        <v>20000</v>
      </c>
      <c r="S56" s="14"/>
      <c r="T56" s="8">
        <f t="shared" ref="T56:T59" si="5">Q56+R56+S56</f>
        <v>20000</v>
      </c>
      <c r="U56" s="19">
        <v>500</v>
      </c>
      <c r="V56" s="125">
        <v>500</v>
      </c>
      <c r="W56" s="18">
        <f t="shared" ref="W56:W59" si="6">T56-U56-V56</f>
        <v>19000</v>
      </c>
    </row>
    <row r="57" spans="1:23" x14ac:dyDescent="0.25">
      <c r="A57" s="20">
        <v>3</v>
      </c>
      <c r="B57" s="12" t="s">
        <v>140</v>
      </c>
      <c r="C57" s="21" t="s">
        <v>56</v>
      </c>
      <c r="D57" s="13" t="s">
        <v>141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6">
        <f t="shared" si="4"/>
        <v>0</v>
      </c>
      <c r="R57" s="14">
        <v>23000</v>
      </c>
      <c r="S57" s="14"/>
      <c r="T57" s="8">
        <f t="shared" si="5"/>
        <v>23000</v>
      </c>
      <c r="U57" s="19"/>
      <c r="V57" s="125"/>
      <c r="W57" s="18">
        <f t="shared" si="6"/>
        <v>23000</v>
      </c>
    </row>
    <row r="58" spans="1:23" x14ac:dyDescent="0.25">
      <c r="A58" s="20">
        <v>4</v>
      </c>
      <c r="B58" s="12" t="s">
        <v>142</v>
      </c>
      <c r="C58" s="12" t="s">
        <v>34</v>
      </c>
      <c r="D58" s="13" t="s">
        <v>143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6">
        <f t="shared" si="4"/>
        <v>0</v>
      </c>
      <c r="R58" s="14">
        <v>0</v>
      </c>
      <c r="S58" s="14"/>
      <c r="T58" s="8">
        <f t="shared" si="5"/>
        <v>0</v>
      </c>
      <c r="U58" s="19"/>
      <c r="V58" s="125"/>
      <c r="W58" s="18">
        <f t="shared" si="6"/>
        <v>0</v>
      </c>
    </row>
    <row r="59" spans="1:23" x14ac:dyDescent="0.25">
      <c r="A59" s="20">
        <v>5</v>
      </c>
      <c r="B59" s="12" t="s">
        <v>144</v>
      </c>
      <c r="C59" s="12" t="s">
        <v>16</v>
      </c>
      <c r="D59" s="13" t="s">
        <v>145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6">
        <f t="shared" si="4"/>
        <v>0</v>
      </c>
      <c r="R59" s="14">
        <v>0</v>
      </c>
      <c r="S59" s="14"/>
      <c r="T59" s="8">
        <f t="shared" si="5"/>
        <v>0</v>
      </c>
      <c r="U59" s="19"/>
      <c r="V59" s="125"/>
      <c r="W59" s="18">
        <f t="shared" si="6"/>
        <v>0</v>
      </c>
    </row>
    <row r="60" spans="1:23" x14ac:dyDescent="0.25">
      <c r="A60" s="2"/>
      <c r="B60" s="2"/>
      <c r="C60" s="2"/>
      <c r="D60" s="53" t="s">
        <v>146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6">
        <f t="shared" si="4"/>
        <v>0</v>
      </c>
      <c r="R60" s="18">
        <f t="shared" ref="R60:W60" si="7">SUM(R55:R59)</f>
        <v>73000</v>
      </c>
      <c r="S60" s="18">
        <f t="shared" si="7"/>
        <v>0</v>
      </c>
      <c r="T60" s="18">
        <f t="shared" si="7"/>
        <v>74000</v>
      </c>
      <c r="U60" s="55">
        <f t="shared" si="7"/>
        <v>1050</v>
      </c>
      <c r="V60" s="127">
        <f t="shared" si="7"/>
        <v>1050</v>
      </c>
      <c r="W60" s="18">
        <f t="shared" si="7"/>
        <v>71900</v>
      </c>
    </row>
    <row r="61" spans="1:23" x14ac:dyDescent="0.25">
      <c r="A61" s="2" t="s">
        <v>147</v>
      </c>
      <c r="B61" s="20"/>
      <c r="C61" s="20"/>
      <c r="D61" s="13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31"/>
      <c r="R61" s="14"/>
      <c r="S61" s="14"/>
      <c r="T61" s="8"/>
      <c r="U61" s="19"/>
      <c r="V61" s="125"/>
      <c r="W61" s="2"/>
    </row>
    <row r="62" spans="1:23" x14ac:dyDescent="0.25">
      <c r="A62" s="20"/>
      <c r="B62" s="20"/>
      <c r="C62" s="20"/>
      <c r="D62" s="20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31"/>
      <c r="R62" s="20"/>
      <c r="S62" s="20"/>
      <c r="T62" s="20"/>
      <c r="U62" s="20"/>
      <c r="V62" s="129"/>
      <c r="W62" s="20"/>
    </row>
    <row r="63" spans="1:23" x14ac:dyDescent="0.25">
      <c r="A63" s="20">
        <v>2</v>
      </c>
      <c r="B63" s="12" t="s">
        <v>150</v>
      </c>
      <c r="C63" s="12" t="s">
        <v>27</v>
      </c>
      <c r="D63" s="13" t="s">
        <v>151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6">
        <f>SUM(P63:P63)</f>
        <v>0</v>
      </c>
      <c r="R63" s="14">
        <v>30000</v>
      </c>
      <c r="S63" s="14"/>
      <c r="T63" s="8">
        <f>Q63+R63+S63</f>
        <v>30000</v>
      </c>
      <c r="U63" s="19"/>
      <c r="V63" s="125"/>
      <c r="W63" s="18">
        <f>T63-U63-V63</f>
        <v>30000</v>
      </c>
    </row>
    <row r="64" spans="1:23" x14ac:dyDescent="0.25">
      <c r="A64" s="20">
        <v>3</v>
      </c>
      <c r="B64" s="12" t="s">
        <v>152</v>
      </c>
      <c r="C64" s="12" t="s">
        <v>27</v>
      </c>
      <c r="D64" s="13" t="s">
        <v>153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6">
        <f>SUM(P64:P64)</f>
        <v>0</v>
      </c>
      <c r="R64" s="14">
        <v>25000</v>
      </c>
      <c r="S64" s="14"/>
      <c r="T64" s="8">
        <f t="shared" ref="T64:T65" si="8">Q64+R64+S64</f>
        <v>25000</v>
      </c>
      <c r="U64" s="19"/>
      <c r="V64" s="125"/>
      <c r="W64" s="18">
        <f t="shared" ref="W64:W65" si="9">T64-U64-V64</f>
        <v>25000</v>
      </c>
    </row>
    <row r="65" spans="1:23" x14ac:dyDescent="0.25">
      <c r="A65" s="20">
        <v>4</v>
      </c>
      <c r="B65" s="12" t="s">
        <v>154</v>
      </c>
      <c r="C65" s="12" t="s">
        <v>19</v>
      </c>
      <c r="D65" s="13" t="s">
        <v>155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6">
        <f>SUM(P65:P65)</f>
        <v>0</v>
      </c>
      <c r="R65" s="14">
        <v>20000</v>
      </c>
      <c r="S65" s="14"/>
      <c r="T65" s="8">
        <f t="shared" si="8"/>
        <v>20000</v>
      </c>
      <c r="U65" s="19"/>
      <c r="V65" s="125"/>
      <c r="W65" s="18">
        <f t="shared" si="9"/>
        <v>20000</v>
      </c>
    </row>
    <row r="66" spans="1:23" x14ac:dyDescent="0.25">
      <c r="A66" s="2"/>
      <c r="B66" s="2"/>
      <c r="C66" s="2"/>
      <c r="D66" s="53" t="s">
        <v>156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6">
        <f>SUM(P66:P66)</f>
        <v>0</v>
      </c>
      <c r="R66" s="8">
        <f>SUM(R63:R65)</f>
        <v>75000</v>
      </c>
      <c r="S66" s="8">
        <f t="shared" ref="S66:U66" si="10">SUM(S63:S65)</f>
        <v>0</v>
      </c>
      <c r="T66" s="8">
        <f>SUM(T63:T65)</f>
        <v>75000</v>
      </c>
      <c r="U66" s="34">
        <f t="shared" si="10"/>
        <v>0</v>
      </c>
      <c r="V66" s="127"/>
      <c r="W66" s="8">
        <f>SUM(W63:W65)</f>
        <v>75000</v>
      </c>
    </row>
    <row r="67" spans="1:23" x14ac:dyDescent="0.25">
      <c r="A67" s="2" t="s">
        <v>157</v>
      </c>
      <c r="B67" s="20"/>
      <c r="C67" s="20"/>
      <c r="D67" s="13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31"/>
      <c r="R67" s="14"/>
      <c r="S67" s="14"/>
      <c r="T67" s="8"/>
      <c r="U67" s="19"/>
      <c r="V67" s="125"/>
      <c r="W67" s="2"/>
    </row>
    <row r="68" spans="1:23" x14ac:dyDescent="0.25">
      <c r="A68" s="20">
        <v>1</v>
      </c>
      <c r="B68" s="12" t="s">
        <v>276</v>
      </c>
      <c r="C68" s="12" t="s">
        <v>19</v>
      </c>
      <c r="D68" s="13">
        <v>1236977351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6">
        <f>SUM(P68:P68)</f>
        <v>0</v>
      </c>
      <c r="R68" s="14">
        <v>40000</v>
      </c>
      <c r="S68" s="14"/>
      <c r="T68" s="8">
        <f>R68+Q68+S68</f>
        <v>40000</v>
      </c>
      <c r="U68" s="19"/>
      <c r="V68" s="125">
        <v>650</v>
      </c>
      <c r="W68" s="18">
        <f>T68-U68-V68</f>
        <v>39350</v>
      </c>
    </row>
    <row r="69" spans="1:23" x14ac:dyDescent="0.25">
      <c r="A69" s="20"/>
      <c r="B69" s="20"/>
      <c r="C69" s="20"/>
      <c r="D69" s="20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31"/>
      <c r="R69" s="20"/>
      <c r="S69" s="20"/>
      <c r="T69" s="20"/>
      <c r="U69" s="20"/>
      <c r="V69" s="129"/>
      <c r="W69" s="20"/>
    </row>
    <row r="70" spans="1:23" x14ac:dyDescent="0.25">
      <c r="A70" s="2" t="s">
        <v>229</v>
      </c>
      <c r="B70" s="12"/>
      <c r="C70" s="12"/>
      <c r="D70" s="13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31"/>
      <c r="R70" s="14"/>
      <c r="S70" s="14"/>
      <c r="T70" s="8"/>
      <c r="U70" s="19"/>
      <c r="V70" s="125"/>
      <c r="W70" s="18"/>
    </row>
    <row r="71" spans="1:23" x14ac:dyDescent="0.25">
      <c r="A71" s="20">
        <v>1</v>
      </c>
      <c r="B71" s="12" t="s">
        <v>165</v>
      </c>
      <c r="C71" s="12" t="s">
        <v>27</v>
      </c>
      <c r="D71" s="13" t="s">
        <v>166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6">
        <f>SUM(P71:P71)</f>
        <v>0</v>
      </c>
      <c r="R71" s="14">
        <v>40000</v>
      </c>
      <c r="S71" s="14">
        <v>5000</v>
      </c>
      <c r="T71" s="8">
        <f>Q71+R71+S71</f>
        <v>45000</v>
      </c>
      <c r="U71" s="19"/>
      <c r="V71" s="125">
        <v>500</v>
      </c>
      <c r="W71" s="18">
        <f>T71-U71-V71</f>
        <v>44500</v>
      </c>
    </row>
    <row r="72" spans="1:23" x14ac:dyDescent="0.25">
      <c r="A72" s="20">
        <v>2</v>
      </c>
      <c r="B72" s="12" t="s">
        <v>167</v>
      </c>
      <c r="C72" s="64" t="s">
        <v>27</v>
      </c>
      <c r="D72" s="13" t="s">
        <v>169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6">
        <f>SUM(P72:P72)</f>
        <v>0</v>
      </c>
      <c r="R72" s="14">
        <v>35000</v>
      </c>
      <c r="S72" s="14">
        <v>2300</v>
      </c>
      <c r="T72" s="8">
        <f t="shared" ref="T72:T74" si="11">Q72+R72+S72</f>
        <v>37300</v>
      </c>
      <c r="U72" s="19"/>
      <c r="V72" s="125">
        <v>605</v>
      </c>
      <c r="W72" s="18">
        <f t="shared" ref="W72:W74" si="12">T72-U72-V72</f>
        <v>36695</v>
      </c>
    </row>
    <row r="73" spans="1:23" x14ac:dyDescent="0.25">
      <c r="A73" s="20">
        <v>3</v>
      </c>
      <c r="B73" s="12" t="s">
        <v>268</v>
      </c>
      <c r="C73" s="64" t="s">
        <v>27</v>
      </c>
      <c r="D73" s="13" t="s">
        <v>184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6">
        <f>SUM(P73:P73)</f>
        <v>0</v>
      </c>
      <c r="R73" s="14">
        <v>14400</v>
      </c>
      <c r="S73" s="14">
        <v>1200</v>
      </c>
      <c r="T73" s="8">
        <f t="shared" si="11"/>
        <v>15600</v>
      </c>
      <c r="U73" s="19"/>
      <c r="V73" s="125">
        <v>460</v>
      </c>
      <c r="W73" s="18">
        <f t="shared" si="12"/>
        <v>15140</v>
      </c>
    </row>
    <row r="74" spans="1:23" x14ac:dyDescent="0.25">
      <c r="A74" s="20">
        <v>4</v>
      </c>
      <c r="B74" s="12" t="s">
        <v>171</v>
      </c>
      <c r="C74" s="12" t="s">
        <v>27</v>
      </c>
      <c r="D74" s="13" t="s">
        <v>172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6">
        <f>SUM(P74:P74)</f>
        <v>0</v>
      </c>
      <c r="R74" s="14">
        <v>80000</v>
      </c>
      <c r="S74" s="14">
        <v>5000</v>
      </c>
      <c r="T74" s="8">
        <f t="shared" si="11"/>
        <v>85000</v>
      </c>
      <c r="U74" s="19"/>
      <c r="V74" s="125">
        <v>1075</v>
      </c>
      <c r="W74" s="18">
        <f t="shared" si="12"/>
        <v>83925</v>
      </c>
    </row>
    <row r="75" spans="1:23" x14ac:dyDescent="0.25">
      <c r="A75" s="2"/>
      <c r="B75" s="2"/>
      <c r="C75" s="65"/>
      <c r="D75" s="53" t="s">
        <v>173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90">
        <f t="shared" ref="Q75:W75" si="13">SUM(Q71:Q74)</f>
        <v>0</v>
      </c>
      <c r="R75" s="8">
        <f t="shared" si="13"/>
        <v>169400</v>
      </c>
      <c r="S75" s="8">
        <f t="shared" si="13"/>
        <v>13500</v>
      </c>
      <c r="T75" s="8">
        <f>SUM(T71:T74)</f>
        <v>182900</v>
      </c>
      <c r="U75" s="34">
        <f t="shared" si="13"/>
        <v>0</v>
      </c>
      <c r="V75" s="127">
        <f t="shared" si="13"/>
        <v>2640</v>
      </c>
      <c r="W75" s="18">
        <f t="shared" si="13"/>
        <v>180260</v>
      </c>
    </row>
    <row r="76" spans="1:23" x14ac:dyDescent="0.25">
      <c r="A76" s="2"/>
      <c r="B76" s="2"/>
      <c r="C76" s="65"/>
      <c r="D76" s="53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6"/>
      <c r="R76" s="8"/>
      <c r="S76" s="8"/>
      <c r="T76" s="8"/>
      <c r="U76" s="34"/>
      <c r="V76" s="127"/>
      <c r="W76" s="18"/>
    </row>
    <row r="77" spans="1:23" x14ac:dyDescent="0.25">
      <c r="A77" s="2"/>
      <c r="B77" s="2"/>
      <c r="C77" s="2"/>
      <c r="D77" s="2" t="s">
        <v>174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8"/>
      <c r="R77" s="8">
        <f t="shared" ref="R77:V77" si="14">R52+R60+R66+R68+R75</f>
        <v>1654200</v>
      </c>
      <c r="S77" s="8">
        <f t="shared" si="14"/>
        <v>131970</v>
      </c>
      <c r="T77" s="8">
        <f t="shared" si="14"/>
        <v>1974170</v>
      </c>
      <c r="U77" s="8">
        <f t="shared" si="14"/>
        <v>41110</v>
      </c>
      <c r="V77" s="127">
        <f t="shared" si="14"/>
        <v>30896.25</v>
      </c>
      <c r="W77" s="8">
        <f>W52+W60+W66+W68+W75</f>
        <v>1902163.75</v>
      </c>
    </row>
  </sheetData>
  <mergeCells count="3">
    <mergeCell ref="A1:W1"/>
    <mergeCell ref="U3:V3"/>
    <mergeCell ref="W3:W4"/>
  </mergeCells>
  <pageMargins left="0.7" right="0.7" top="0.75" bottom="0.75" header="0.3" footer="0.3"/>
  <pageSetup scale="3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7CFD-7240-4FD4-AE8C-1552918B1610}">
  <sheetPr>
    <pageSetUpPr fitToPage="1"/>
  </sheetPr>
  <dimension ref="A1:O80"/>
  <sheetViews>
    <sheetView zoomScale="85" zoomScaleNormal="85" workbookViewId="0">
      <selection activeCell="N55" sqref="N55"/>
    </sheetView>
  </sheetViews>
  <sheetFormatPr defaultRowHeight="15" x14ac:dyDescent="0.25"/>
  <cols>
    <col min="1" max="1" width="7.85546875" customWidth="1"/>
    <col min="2" max="2" width="27.5703125" bestFit="1" customWidth="1"/>
    <col min="3" max="3" width="16.85546875" bestFit="1" customWidth="1"/>
    <col min="4" max="4" width="15.42578125" customWidth="1"/>
    <col min="5" max="5" width="10.5703125" style="85" customWidth="1"/>
    <col min="6" max="6" width="11.5703125" style="85" customWidth="1"/>
    <col min="7" max="8" width="12.5703125" customWidth="1"/>
    <col min="9" max="9" width="11.7109375" style="161" customWidth="1"/>
    <col min="10" max="10" width="14.85546875" customWidth="1"/>
    <col min="11" max="11" width="16" customWidth="1"/>
    <col min="12" max="12" width="13.28515625" style="156" customWidth="1"/>
    <col min="13" max="13" width="10.5703125" customWidth="1"/>
    <col min="14" max="14" width="10.5703125" bestFit="1" customWidth="1"/>
    <col min="15" max="15" width="13.28515625" style="168" customWidth="1"/>
  </cols>
  <sheetData>
    <row r="1" spans="1:15" x14ac:dyDescent="0.25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x14ac:dyDescent="0.25">
      <c r="A2" s="116">
        <v>46204</v>
      </c>
      <c r="B2" s="121" t="s">
        <v>1</v>
      </c>
      <c r="C2" s="121"/>
      <c r="D2" s="121"/>
      <c r="E2" s="114"/>
      <c r="F2" s="114"/>
      <c r="G2" s="121"/>
      <c r="H2" s="121"/>
      <c r="I2" s="157"/>
      <c r="J2" s="121"/>
      <c r="K2" s="121"/>
      <c r="L2" s="150"/>
      <c r="M2" s="121"/>
      <c r="N2" s="122"/>
      <c r="O2" s="162"/>
    </row>
    <row r="3" spans="1:15" x14ac:dyDescent="0.25">
      <c r="A3" s="2" t="s">
        <v>2</v>
      </c>
      <c r="B3" s="2"/>
      <c r="C3" s="2"/>
      <c r="D3" s="2"/>
      <c r="E3" s="144"/>
      <c r="F3" s="144"/>
      <c r="G3" s="132"/>
      <c r="H3" s="132"/>
      <c r="I3" s="158"/>
      <c r="J3" s="114"/>
      <c r="K3" s="114" t="s">
        <v>256</v>
      </c>
      <c r="L3" s="151"/>
      <c r="M3" s="256" t="s">
        <v>3</v>
      </c>
      <c r="N3" s="256"/>
      <c r="O3" s="260" t="s">
        <v>4</v>
      </c>
    </row>
    <row r="4" spans="1:15" x14ac:dyDescent="0.25">
      <c r="A4" s="2" t="s">
        <v>5</v>
      </c>
      <c r="B4" s="2" t="s">
        <v>6</v>
      </c>
      <c r="C4" s="2" t="s">
        <v>7</v>
      </c>
      <c r="D4" s="2" t="s">
        <v>8</v>
      </c>
      <c r="E4" s="74" t="s">
        <v>303</v>
      </c>
      <c r="F4" s="74" t="s">
        <v>304</v>
      </c>
      <c r="G4" s="2" t="s">
        <v>305</v>
      </c>
      <c r="H4" s="2" t="s">
        <v>306</v>
      </c>
      <c r="I4" s="159" t="s">
        <v>9</v>
      </c>
      <c r="J4" s="8" t="s">
        <v>10</v>
      </c>
      <c r="K4" s="8" t="s">
        <v>270</v>
      </c>
      <c r="L4" s="152" t="s">
        <v>12</v>
      </c>
      <c r="M4" s="10" t="s">
        <v>13</v>
      </c>
      <c r="N4" s="123" t="s">
        <v>255</v>
      </c>
      <c r="O4" s="260"/>
    </row>
    <row r="5" spans="1:15" hidden="1" x14ac:dyDescent="0.25">
      <c r="A5" s="120" t="s">
        <v>14</v>
      </c>
      <c r="B5" s="12" t="s">
        <v>15</v>
      </c>
      <c r="C5" s="12" t="s">
        <v>16</v>
      </c>
      <c r="D5" s="13">
        <v>2050766384</v>
      </c>
      <c r="E5" s="14">
        <v>3000</v>
      </c>
      <c r="F5" s="14">
        <v>3000</v>
      </c>
      <c r="G5" s="14">
        <v>4000</v>
      </c>
      <c r="H5" s="14">
        <v>1000</v>
      </c>
      <c r="I5" s="160">
        <f>SUM(E5:H5)</f>
        <v>11000</v>
      </c>
      <c r="J5" s="14">
        <v>28000</v>
      </c>
      <c r="K5" s="14">
        <v>1800</v>
      </c>
      <c r="L5" s="152">
        <f>I5+J5+K5</f>
        <v>40800</v>
      </c>
      <c r="M5" s="17">
        <v>5000</v>
      </c>
      <c r="N5" s="124">
        <v>1030</v>
      </c>
      <c r="O5" s="163">
        <f>L5-M5-N5</f>
        <v>34770</v>
      </c>
    </row>
    <row r="6" spans="1:15" hidden="1" x14ac:dyDescent="0.25">
      <c r="A6" s="133" t="s">
        <v>17</v>
      </c>
      <c r="B6" s="12" t="s">
        <v>18</v>
      </c>
      <c r="C6" s="12" t="s">
        <v>19</v>
      </c>
      <c r="D6" s="13" t="s">
        <v>20</v>
      </c>
      <c r="E6" s="131">
        <v>1000</v>
      </c>
      <c r="F6" s="131">
        <v>1000</v>
      </c>
      <c r="G6" s="131">
        <v>1000</v>
      </c>
      <c r="H6" s="131">
        <v>1000</v>
      </c>
      <c r="I6" s="160">
        <f t="shared" ref="I6:I54" si="0">SUM(E6:H6)</f>
        <v>4000</v>
      </c>
      <c r="J6" s="131">
        <v>25000</v>
      </c>
      <c r="K6" s="131">
        <v>2800</v>
      </c>
      <c r="L6" s="152">
        <f t="shared" ref="L6:L54" si="1">I6+J6+K6</f>
        <v>31800</v>
      </c>
      <c r="M6" s="17"/>
      <c r="N6" s="124">
        <v>550</v>
      </c>
      <c r="O6" s="163">
        <f t="shared" ref="O6:O54" si="2">L6-M6-N6</f>
        <v>31250</v>
      </c>
    </row>
    <row r="7" spans="1:15" hidden="1" x14ac:dyDescent="0.25">
      <c r="A7" s="133" t="s">
        <v>21</v>
      </c>
      <c r="B7" s="12" t="s">
        <v>22</v>
      </c>
      <c r="C7" s="12" t="s">
        <v>23</v>
      </c>
      <c r="D7" s="13" t="s">
        <v>24</v>
      </c>
      <c r="E7" s="131">
        <v>1000</v>
      </c>
      <c r="F7" s="131">
        <v>2000</v>
      </c>
      <c r="G7" s="131">
        <v>1000</v>
      </c>
      <c r="H7" s="131"/>
      <c r="I7" s="160">
        <f t="shared" si="0"/>
        <v>4000</v>
      </c>
      <c r="J7" s="131">
        <v>20000</v>
      </c>
      <c r="K7" s="131">
        <v>1200</v>
      </c>
      <c r="L7" s="152">
        <f t="shared" si="1"/>
        <v>25200</v>
      </c>
      <c r="M7" s="17"/>
      <c r="N7" s="124">
        <v>500</v>
      </c>
      <c r="O7" s="163">
        <f t="shared" si="2"/>
        <v>24700</v>
      </c>
    </row>
    <row r="8" spans="1:15" hidden="1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14"/>
      <c r="F8" s="14"/>
      <c r="G8" s="14"/>
      <c r="H8" s="14"/>
      <c r="I8" s="160">
        <f t="shared" si="0"/>
        <v>0</v>
      </c>
      <c r="J8" s="14">
        <v>9000</v>
      </c>
      <c r="K8" s="14"/>
      <c r="L8" s="152">
        <f t="shared" si="1"/>
        <v>9000</v>
      </c>
      <c r="M8" s="19"/>
      <c r="N8" s="125"/>
      <c r="O8" s="163">
        <f t="shared" si="2"/>
        <v>9000</v>
      </c>
    </row>
    <row r="9" spans="1:15" hidden="1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14">
        <v>500</v>
      </c>
      <c r="F9" s="14">
        <v>1000</v>
      </c>
      <c r="G9" s="14"/>
      <c r="H9" s="14"/>
      <c r="I9" s="160">
        <f t="shared" si="0"/>
        <v>1500</v>
      </c>
      <c r="J9" s="14">
        <v>30000</v>
      </c>
      <c r="K9" s="14">
        <f>12400+97500</f>
        <v>109900</v>
      </c>
      <c r="L9" s="152">
        <f t="shared" si="1"/>
        <v>141400</v>
      </c>
      <c r="M9" s="19"/>
      <c r="N9" s="125"/>
      <c r="O9" s="163">
        <f t="shared" si="2"/>
        <v>141400</v>
      </c>
    </row>
    <row r="10" spans="1:15" hidden="1" x14ac:dyDescent="0.25">
      <c r="A10" s="11" t="s">
        <v>32</v>
      </c>
      <c r="B10" s="20" t="s">
        <v>258</v>
      </c>
      <c r="C10" s="12" t="s">
        <v>34</v>
      </c>
      <c r="D10" s="13" t="s">
        <v>35</v>
      </c>
      <c r="E10" s="14">
        <v>500</v>
      </c>
      <c r="F10" s="14">
        <v>1500</v>
      </c>
      <c r="G10" s="14"/>
      <c r="H10" s="14">
        <v>500</v>
      </c>
      <c r="I10" s="160">
        <f t="shared" si="0"/>
        <v>2500</v>
      </c>
      <c r="J10" s="14">
        <v>20000</v>
      </c>
      <c r="K10" s="14">
        <v>2750</v>
      </c>
      <c r="L10" s="152">
        <f t="shared" si="1"/>
        <v>25250</v>
      </c>
      <c r="M10" s="19"/>
      <c r="N10" s="125">
        <v>495</v>
      </c>
      <c r="O10" s="163">
        <f t="shared" si="2"/>
        <v>24755</v>
      </c>
    </row>
    <row r="11" spans="1:15" hidden="1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14">
        <v>3000</v>
      </c>
      <c r="F11" s="14">
        <v>4000</v>
      </c>
      <c r="G11" s="14">
        <v>4000</v>
      </c>
      <c r="H11" s="14"/>
      <c r="I11" s="160">
        <f t="shared" si="0"/>
        <v>11000</v>
      </c>
      <c r="J11" s="14">
        <v>50000</v>
      </c>
      <c r="K11" s="14">
        <v>4150</v>
      </c>
      <c r="L11" s="152">
        <f t="shared" si="1"/>
        <v>65150</v>
      </c>
      <c r="M11" s="19">
        <v>1660</v>
      </c>
      <c r="N11" s="125">
        <v>500</v>
      </c>
      <c r="O11" s="163">
        <f t="shared" si="2"/>
        <v>62990</v>
      </c>
    </row>
    <row r="12" spans="1:15" hidden="1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14">
        <v>1000</v>
      </c>
      <c r="F12" s="14">
        <v>1500</v>
      </c>
      <c r="G12" s="14">
        <v>1000</v>
      </c>
      <c r="H12" s="14"/>
      <c r="I12" s="160">
        <f t="shared" si="0"/>
        <v>3500</v>
      </c>
      <c r="J12" s="14">
        <v>20000</v>
      </c>
      <c r="K12" s="14">
        <v>3000</v>
      </c>
      <c r="L12" s="152">
        <f t="shared" si="1"/>
        <v>26500</v>
      </c>
      <c r="M12" s="19"/>
      <c r="N12" s="125">
        <v>300</v>
      </c>
      <c r="O12" s="163">
        <f t="shared" si="2"/>
        <v>26200</v>
      </c>
    </row>
    <row r="13" spans="1:15" hidden="1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14"/>
      <c r="F13" s="14">
        <v>1000</v>
      </c>
      <c r="G13" s="14"/>
      <c r="H13" s="14"/>
      <c r="I13" s="160">
        <f t="shared" si="0"/>
        <v>1000</v>
      </c>
      <c r="J13" s="14">
        <v>30000</v>
      </c>
      <c r="K13" s="14">
        <v>3850</v>
      </c>
      <c r="L13" s="152">
        <f t="shared" si="1"/>
        <v>34850</v>
      </c>
      <c r="M13" s="19"/>
      <c r="N13" s="125">
        <v>1030</v>
      </c>
      <c r="O13" s="163">
        <f t="shared" si="2"/>
        <v>33820</v>
      </c>
    </row>
    <row r="14" spans="1:15" hidden="1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14">
        <v>2000</v>
      </c>
      <c r="F14" s="14">
        <v>3000</v>
      </c>
      <c r="G14" s="14"/>
      <c r="H14" s="14">
        <v>1000</v>
      </c>
      <c r="I14" s="160">
        <f t="shared" si="0"/>
        <v>6000</v>
      </c>
      <c r="J14" s="14">
        <v>70000</v>
      </c>
      <c r="K14" s="14">
        <v>2800</v>
      </c>
      <c r="L14" s="152">
        <f t="shared" si="1"/>
        <v>78800</v>
      </c>
      <c r="M14" s="19">
        <v>250</v>
      </c>
      <c r="N14" s="125">
        <v>1030</v>
      </c>
      <c r="O14" s="163">
        <f t="shared" si="2"/>
        <v>77520</v>
      </c>
    </row>
    <row r="15" spans="1:15" hidden="1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14">
        <v>2000</v>
      </c>
      <c r="F15" s="14">
        <v>3000</v>
      </c>
      <c r="G15" s="14">
        <v>5000</v>
      </c>
      <c r="H15" s="14"/>
      <c r="I15" s="160">
        <f t="shared" si="0"/>
        <v>10000</v>
      </c>
      <c r="J15" s="14">
        <v>20000</v>
      </c>
      <c r="K15" s="14">
        <v>1800</v>
      </c>
      <c r="L15" s="152">
        <f t="shared" si="1"/>
        <v>31800</v>
      </c>
      <c r="M15" s="19"/>
      <c r="N15" s="125">
        <v>495</v>
      </c>
      <c r="O15" s="163">
        <f t="shared" si="2"/>
        <v>31305</v>
      </c>
    </row>
    <row r="16" spans="1:15" hidden="1" x14ac:dyDescent="0.25">
      <c r="A16" s="11" t="s">
        <v>51</v>
      </c>
      <c r="B16" s="12" t="s">
        <v>52</v>
      </c>
      <c r="C16" s="12" t="s">
        <v>311</v>
      </c>
      <c r="D16" s="13" t="s">
        <v>312</v>
      </c>
      <c r="E16" s="14">
        <v>2000</v>
      </c>
      <c r="F16" s="14">
        <v>4000</v>
      </c>
      <c r="G16" s="14">
        <v>4000</v>
      </c>
      <c r="H16" s="14"/>
      <c r="I16" s="160">
        <f t="shared" si="0"/>
        <v>10000</v>
      </c>
      <c r="J16" s="14">
        <v>20000</v>
      </c>
      <c r="K16" s="14">
        <f>4300+1000</f>
        <v>5300</v>
      </c>
      <c r="L16" s="152">
        <f t="shared" si="1"/>
        <v>35300</v>
      </c>
      <c r="M16" s="19">
        <f>2220+700</f>
        <v>2920</v>
      </c>
      <c r="N16" s="125">
        <v>600</v>
      </c>
      <c r="O16" s="163">
        <f t="shared" si="2"/>
        <v>31780</v>
      </c>
    </row>
    <row r="17" spans="1:15" hidden="1" x14ac:dyDescent="0.25">
      <c r="A17" s="11" t="s">
        <v>54</v>
      </c>
      <c r="B17" s="12" t="s">
        <v>199</v>
      </c>
      <c r="C17" s="64" t="s">
        <v>19</v>
      </c>
      <c r="D17" s="13" t="s">
        <v>200</v>
      </c>
      <c r="E17" s="14">
        <v>1500</v>
      </c>
      <c r="F17" s="14">
        <v>1000</v>
      </c>
      <c r="G17" s="14">
        <v>1000</v>
      </c>
      <c r="H17" s="14"/>
      <c r="I17" s="160">
        <f t="shared" si="0"/>
        <v>3500</v>
      </c>
      <c r="J17" s="14">
        <v>18000</v>
      </c>
      <c r="K17" s="14">
        <v>3000</v>
      </c>
      <c r="L17" s="152">
        <f t="shared" si="1"/>
        <v>24500</v>
      </c>
      <c r="M17" s="19"/>
      <c r="N17" s="125">
        <v>495</v>
      </c>
      <c r="O17" s="163">
        <f t="shared" si="2"/>
        <v>24005</v>
      </c>
    </row>
    <row r="18" spans="1:15" hidden="1" x14ac:dyDescent="0.25">
      <c r="A18" s="11" t="s">
        <v>58</v>
      </c>
      <c r="B18" s="12" t="s">
        <v>59</v>
      </c>
      <c r="C18" s="12" t="s">
        <v>34</v>
      </c>
      <c r="D18" s="13" t="s">
        <v>60</v>
      </c>
      <c r="E18" s="14"/>
      <c r="F18" s="14"/>
      <c r="G18" s="14"/>
      <c r="H18" s="14"/>
      <c r="I18" s="160">
        <f t="shared" si="0"/>
        <v>0</v>
      </c>
      <c r="J18" s="14">
        <v>35000</v>
      </c>
      <c r="K18" s="14">
        <v>11000</v>
      </c>
      <c r="L18" s="152">
        <f t="shared" si="1"/>
        <v>46000</v>
      </c>
      <c r="M18" s="19"/>
      <c r="N18" s="125">
        <v>550</v>
      </c>
      <c r="O18" s="163">
        <f t="shared" si="2"/>
        <v>45450</v>
      </c>
    </row>
    <row r="19" spans="1:15" hidden="1" x14ac:dyDescent="0.25">
      <c r="A19" s="133" t="s">
        <v>61</v>
      </c>
      <c r="B19" s="12" t="s">
        <v>62</v>
      </c>
      <c r="C19" s="13" t="s">
        <v>19</v>
      </c>
      <c r="D19" s="13" t="s">
        <v>63</v>
      </c>
      <c r="E19" s="131"/>
      <c r="F19" s="131">
        <v>500</v>
      </c>
      <c r="G19" s="131"/>
      <c r="H19" s="131">
        <v>1000</v>
      </c>
      <c r="I19" s="160">
        <f t="shared" si="0"/>
        <v>1500</v>
      </c>
      <c r="J19" s="131">
        <v>20000</v>
      </c>
      <c r="K19" s="131">
        <v>4350</v>
      </c>
      <c r="L19" s="152">
        <f t="shared" si="1"/>
        <v>25850</v>
      </c>
      <c r="M19" s="17"/>
      <c r="N19" s="124">
        <v>500</v>
      </c>
      <c r="O19" s="163">
        <f t="shared" si="2"/>
        <v>25350</v>
      </c>
    </row>
    <row r="20" spans="1:15" hidden="1" x14ac:dyDescent="0.25">
      <c r="A20" s="11" t="s">
        <v>64</v>
      </c>
      <c r="B20" s="12" t="s">
        <v>65</v>
      </c>
      <c r="C20" s="12" t="s">
        <v>19</v>
      </c>
      <c r="D20" s="13" t="s">
        <v>66</v>
      </c>
      <c r="E20" s="14"/>
      <c r="F20" s="14">
        <v>500</v>
      </c>
      <c r="G20" s="14"/>
      <c r="H20" s="14"/>
      <c r="I20" s="160">
        <f t="shared" si="0"/>
        <v>500</v>
      </c>
      <c r="J20" s="14">
        <v>20000</v>
      </c>
      <c r="K20" s="14">
        <v>3000</v>
      </c>
      <c r="L20" s="152">
        <f t="shared" si="1"/>
        <v>23500</v>
      </c>
      <c r="M20" s="19"/>
      <c r="N20" s="125">
        <v>550</v>
      </c>
      <c r="O20" s="163">
        <f t="shared" si="2"/>
        <v>22950</v>
      </c>
    </row>
    <row r="21" spans="1:15" hidden="1" x14ac:dyDescent="0.25">
      <c r="A21" s="11" t="s">
        <v>67</v>
      </c>
      <c r="B21" s="12" t="s">
        <v>68</v>
      </c>
      <c r="C21" s="12" t="s">
        <v>34</v>
      </c>
      <c r="D21" s="13" t="s">
        <v>69</v>
      </c>
      <c r="E21" s="14"/>
      <c r="F21" s="14"/>
      <c r="G21" s="14"/>
      <c r="H21" s="14"/>
      <c r="I21" s="160">
        <f t="shared" si="0"/>
        <v>0</v>
      </c>
      <c r="J21" s="14">
        <v>20000</v>
      </c>
      <c r="K21" s="14">
        <v>3000</v>
      </c>
      <c r="L21" s="152">
        <f t="shared" si="1"/>
        <v>23000</v>
      </c>
      <c r="M21" s="19"/>
      <c r="N21" s="125">
        <v>600</v>
      </c>
      <c r="O21" s="163">
        <f t="shared" si="2"/>
        <v>22400</v>
      </c>
    </row>
    <row r="22" spans="1:15" hidden="1" x14ac:dyDescent="0.25">
      <c r="A22" s="11" t="s">
        <v>70</v>
      </c>
      <c r="B22" s="20" t="s">
        <v>71</v>
      </c>
      <c r="C22" s="12" t="s">
        <v>34</v>
      </c>
      <c r="D22" s="13" t="s">
        <v>72</v>
      </c>
      <c r="E22" s="14">
        <v>500</v>
      </c>
      <c r="F22" s="14"/>
      <c r="G22" s="14">
        <v>500</v>
      </c>
      <c r="H22" s="14"/>
      <c r="I22" s="160">
        <f t="shared" si="0"/>
        <v>1000</v>
      </c>
      <c r="J22" s="14">
        <v>29000</v>
      </c>
      <c r="K22" s="14">
        <v>3000</v>
      </c>
      <c r="L22" s="152">
        <f t="shared" si="1"/>
        <v>33000</v>
      </c>
      <c r="M22" s="19">
        <v>200</v>
      </c>
      <c r="N22" s="125">
        <v>550</v>
      </c>
      <c r="O22" s="163">
        <f t="shared" si="2"/>
        <v>32250</v>
      </c>
    </row>
    <row r="23" spans="1:15" hidden="1" x14ac:dyDescent="0.25">
      <c r="A23" s="11" t="s">
        <v>73</v>
      </c>
      <c r="B23" s="12" t="s">
        <v>74</v>
      </c>
      <c r="C23" s="12" t="s">
        <v>19</v>
      </c>
      <c r="D23" s="13" t="s">
        <v>75</v>
      </c>
      <c r="E23" s="14"/>
      <c r="F23" s="14"/>
      <c r="G23" s="14"/>
      <c r="H23" s="14"/>
      <c r="I23" s="160">
        <f t="shared" si="0"/>
        <v>0</v>
      </c>
      <c r="J23" s="14">
        <v>10000</v>
      </c>
      <c r="K23" s="14"/>
      <c r="L23" s="152">
        <f t="shared" si="1"/>
        <v>10000</v>
      </c>
      <c r="M23" s="19"/>
      <c r="N23" s="125">
        <v>300</v>
      </c>
      <c r="O23" s="163">
        <f t="shared" si="2"/>
        <v>9700</v>
      </c>
    </row>
    <row r="24" spans="1:15" hidden="1" x14ac:dyDescent="0.25">
      <c r="A24" s="11" t="s">
        <v>76</v>
      </c>
      <c r="B24" s="12" t="s">
        <v>77</v>
      </c>
      <c r="C24" s="20" t="s">
        <v>269</v>
      </c>
      <c r="D24" s="13" t="s">
        <v>79</v>
      </c>
      <c r="E24" s="14"/>
      <c r="F24" s="14"/>
      <c r="G24" s="14"/>
      <c r="H24" s="14"/>
      <c r="I24" s="160">
        <f t="shared" si="0"/>
        <v>0</v>
      </c>
      <c r="J24" s="14">
        <v>50000</v>
      </c>
      <c r="K24" s="14">
        <v>19250</v>
      </c>
      <c r="L24" s="152">
        <f t="shared" si="1"/>
        <v>69250</v>
      </c>
      <c r="M24" s="19"/>
      <c r="N24" s="125">
        <v>1031.25</v>
      </c>
      <c r="O24" s="163">
        <f t="shared" si="2"/>
        <v>68218.75</v>
      </c>
    </row>
    <row r="25" spans="1:15" hidden="1" x14ac:dyDescent="0.25">
      <c r="A25" s="11" t="s">
        <v>80</v>
      </c>
      <c r="B25" s="20" t="s">
        <v>81</v>
      </c>
      <c r="C25" s="12" t="s">
        <v>27</v>
      </c>
      <c r="D25" s="13" t="s">
        <v>82</v>
      </c>
      <c r="E25" s="14">
        <v>2000</v>
      </c>
      <c r="F25" s="14">
        <v>3000</v>
      </c>
      <c r="G25" s="14">
        <v>4000</v>
      </c>
      <c r="H25" s="14"/>
      <c r="I25" s="160">
        <f t="shared" si="0"/>
        <v>9000</v>
      </c>
      <c r="J25" s="14">
        <v>20000</v>
      </c>
      <c r="K25" s="14">
        <v>1100</v>
      </c>
      <c r="L25" s="152">
        <f t="shared" si="1"/>
        <v>30100</v>
      </c>
      <c r="M25" s="19">
        <f>2000+1300</f>
        <v>3300</v>
      </c>
      <c r="N25" s="125">
        <v>500</v>
      </c>
      <c r="O25" s="163">
        <f t="shared" si="2"/>
        <v>26300</v>
      </c>
    </row>
    <row r="26" spans="1:15" hidden="1" x14ac:dyDescent="0.25">
      <c r="A26" s="11" t="s">
        <v>83</v>
      </c>
      <c r="B26" s="20" t="s">
        <v>84</v>
      </c>
      <c r="C26" s="12" t="s">
        <v>34</v>
      </c>
      <c r="D26" s="13" t="s">
        <v>85</v>
      </c>
      <c r="E26" s="14">
        <v>2000</v>
      </c>
      <c r="F26" s="14">
        <v>2000</v>
      </c>
      <c r="G26" s="14">
        <v>3000</v>
      </c>
      <c r="H26" s="14"/>
      <c r="I26" s="160">
        <f t="shared" si="0"/>
        <v>7000</v>
      </c>
      <c r="J26" s="14">
        <v>20000</v>
      </c>
      <c r="K26" s="14">
        <v>1200</v>
      </c>
      <c r="L26" s="152">
        <f t="shared" si="1"/>
        <v>28200</v>
      </c>
      <c r="M26" s="19">
        <f>2000+1300</f>
        <v>3300</v>
      </c>
      <c r="N26" s="125">
        <v>550</v>
      </c>
      <c r="O26" s="163">
        <f t="shared" si="2"/>
        <v>24350</v>
      </c>
    </row>
    <row r="27" spans="1:15" hidden="1" x14ac:dyDescent="0.25">
      <c r="A27" s="11" t="s">
        <v>86</v>
      </c>
      <c r="B27" s="12" t="s">
        <v>87</v>
      </c>
      <c r="C27" s="12" t="s">
        <v>34</v>
      </c>
      <c r="D27" s="13" t="s">
        <v>88</v>
      </c>
      <c r="E27" s="14"/>
      <c r="F27" s="14"/>
      <c r="G27" s="14"/>
      <c r="H27" s="14"/>
      <c r="I27" s="160">
        <f t="shared" si="0"/>
        <v>0</v>
      </c>
      <c r="J27" s="14">
        <v>9000</v>
      </c>
      <c r="K27" s="14"/>
      <c r="L27" s="152">
        <f t="shared" si="1"/>
        <v>9000</v>
      </c>
      <c r="M27" s="19"/>
      <c r="N27" s="125"/>
      <c r="O27" s="163">
        <f t="shared" si="2"/>
        <v>9000</v>
      </c>
    </row>
    <row r="28" spans="1:15" hidden="1" x14ac:dyDescent="0.25">
      <c r="A28" s="133" t="s">
        <v>89</v>
      </c>
      <c r="B28" s="12" t="s">
        <v>297</v>
      </c>
      <c r="C28" s="12" t="s">
        <v>115</v>
      </c>
      <c r="D28" s="13" t="s">
        <v>301</v>
      </c>
      <c r="E28" s="131"/>
      <c r="F28" s="131"/>
      <c r="G28" s="131"/>
      <c r="H28" s="131"/>
      <c r="I28" s="160">
        <f t="shared" si="0"/>
        <v>0</v>
      </c>
      <c r="J28" s="131">
        <v>20000</v>
      </c>
      <c r="K28" s="131">
        <v>4750</v>
      </c>
      <c r="L28" s="152">
        <f t="shared" si="1"/>
        <v>24750</v>
      </c>
      <c r="M28" s="17"/>
      <c r="N28" s="124">
        <v>550</v>
      </c>
      <c r="O28" s="163">
        <f t="shared" si="2"/>
        <v>24200</v>
      </c>
    </row>
    <row r="29" spans="1:15" hidden="1" x14ac:dyDescent="0.25">
      <c r="A29" s="133" t="s">
        <v>92</v>
      </c>
      <c r="B29" s="12" t="s">
        <v>272</v>
      </c>
      <c r="C29" s="12" t="s">
        <v>19</v>
      </c>
      <c r="D29" s="13" t="s">
        <v>285</v>
      </c>
      <c r="E29" s="14">
        <v>1000</v>
      </c>
      <c r="F29" s="14">
        <v>3000</v>
      </c>
      <c r="G29" s="131">
        <v>1500</v>
      </c>
      <c r="H29" s="131">
        <v>2000</v>
      </c>
      <c r="I29" s="160">
        <f t="shared" si="0"/>
        <v>7500</v>
      </c>
      <c r="J29" s="131">
        <v>25000</v>
      </c>
      <c r="K29" s="131">
        <v>1800</v>
      </c>
      <c r="L29" s="152">
        <f t="shared" si="1"/>
        <v>34300</v>
      </c>
      <c r="M29" s="17"/>
      <c r="N29" s="124">
        <v>500</v>
      </c>
      <c r="O29" s="163">
        <f t="shared" si="2"/>
        <v>33800</v>
      </c>
    </row>
    <row r="30" spans="1:15" hidden="1" x14ac:dyDescent="0.25">
      <c r="A30" s="11" t="s">
        <v>98</v>
      </c>
      <c r="B30" s="12" t="s">
        <v>99</v>
      </c>
      <c r="C30" s="12" t="s">
        <v>19</v>
      </c>
      <c r="D30" s="13" t="s">
        <v>100</v>
      </c>
      <c r="E30" s="14">
        <v>1500</v>
      </c>
      <c r="F30" s="14">
        <v>1000</v>
      </c>
      <c r="G30" s="14">
        <v>500</v>
      </c>
      <c r="H30" s="14">
        <v>1000</v>
      </c>
      <c r="I30" s="160">
        <f t="shared" si="0"/>
        <v>4000</v>
      </c>
      <c r="J30" s="14">
        <v>18000</v>
      </c>
      <c r="K30" s="14">
        <v>3000</v>
      </c>
      <c r="L30" s="152">
        <f t="shared" si="1"/>
        <v>25000</v>
      </c>
      <c r="M30" s="19"/>
      <c r="N30" s="125">
        <v>495</v>
      </c>
      <c r="O30" s="163">
        <f t="shared" si="2"/>
        <v>24505</v>
      </c>
    </row>
    <row r="31" spans="1:15" hidden="1" x14ac:dyDescent="0.25">
      <c r="A31" s="11" t="s">
        <v>101</v>
      </c>
      <c r="B31" s="12" t="s">
        <v>232</v>
      </c>
      <c r="C31" s="12" t="s">
        <v>34</v>
      </c>
      <c r="D31" s="13" t="s">
        <v>103</v>
      </c>
      <c r="E31" s="14">
        <v>2500</v>
      </c>
      <c r="F31" s="14">
        <v>3000</v>
      </c>
      <c r="G31" s="14">
        <v>2500</v>
      </c>
      <c r="H31" s="14">
        <v>3000</v>
      </c>
      <c r="I31" s="160">
        <f t="shared" si="0"/>
        <v>11000</v>
      </c>
      <c r="J31" s="14">
        <v>20000</v>
      </c>
      <c r="K31" s="14">
        <v>2300</v>
      </c>
      <c r="L31" s="152">
        <f t="shared" si="1"/>
        <v>33300</v>
      </c>
      <c r="M31" s="19"/>
      <c r="N31" s="125">
        <v>550</v>
      </c>
      <c r="O31" s="163">
        <f t="shared" si="2"/>
        <v>32750</v>
      </c>
    </row>
    <row r="32" spans="1:15" hidden="1" x14ac:dyDescent="0.25">
      <c r="A32" s="11" t="s">
        <v>104</v>
      </c>
      <c r="B32" s="12" t="s">
        <v>105</v>
      </c>
      <c r="C32" s="12" t="s">
        <v>34</v>
      </c>
      <c r="D32" s="13" t="s">
        <v>106</v>
      </c>
      <c r="E32" s="14">
        <v>3000</v>
      </c>
      <c r="F32" s="14">
        <v>3000</v>
      </c>
      <c r="G32" s="14">
        <v>5000</v>
      </c>
      <c r="H32" s="14"/>
      <c r="I32" s="160">
        <f t="shared" si="0"/>
        <v>11000</v>
      </c>
      <c r="J32" s="14">
        <v>20000</v>
      </c>
      <c r="K32" s="14">
        <v>1000</v>
      </c>
      <c r="L32" s="152">
        <f t="shared" si="1"/>
        <v>32000</v>
      </c>
      <c r="M32" s="19"/>
      <c r="N32" s="125">
        <v>500</v>
      </c>
      <c r="O32" s="163">
        <f t="shared" si="2"/>
        <v>31500</v>
      </c>
    </row>
    <row r="33" spans="1:15" x14ac:dyDescent="0.25">
      <c r="A33" s="11" t="s">
        <v>107</v>
      </c>
      <c r="B33" s="12" t="s">
        <v>108</v>
      </c>
      <c r="C33" s="12" t="s">
        <v>19</v>
      </c>
      <c r="D33" s="13" t="s">
        <v>216</v>
      </c>
      <c r="E33" s="14"/>
      <c r="F33" s="14"/>
      <c r="G33" s="14"/>
      <c r="H33" s="14"/>
      <c r="I33" s="160">
        <f t="shared" si="0"/>
        <v>0</v>
      </c>
      <c r="J33" s="14">
        <v>20000</v>
      </c>
      <c r="K33" s="14">
        <v>3000</v>
      </c>
      <c r="L33" s="152">
        <f t="shared" si="1"/>
        <v>23000</v>
      </c>
      <c r="M33" s="19"/>
      <c r="N33" s="125">
        <v>550</v>
      </c>
      <c r="O33" s="163">
        <f t="shared" si="2"/>
        <v>22450</v>
      </c>
    </row>
    <row r="34" spans="1:15" x14ac:dyDescent="0.25">
      <c r="A34" s="11" t="s">
        <v>110</v>
      </c>
      <c r="B34" s="12" t="s">
        <v>111</v>
      </c>
      <c r="C34" s="12" t="s">
        <v>19</v>
      </c>
      <c r="D34" s="13" t="s">
        <v>112</v>
      </c>
      <c r="E34" s="14"/>
      <c r="F34" s="14"/>
      <c r="G34" s="14"/>
      <c r="H34" s="14"/>
      <c r="I34" s="160">
        <f t="shared" si="0"/>
        <v>0</v>
      </c>
      <c r="J34" s="14">
        <v>30000</v>
      </c>
      <c r="K34" s="14">
        <v>1000</v>
      </c>
      <c r="L34" s="152">
        <f t="shared" si="1"/>
        <v>31000</v>
      </c>
      <c r="M34" s="19">
        <v>200</v>
      </c>
      <c r="N34" s="125">
        <v>605</v>
      </c>
      <c r="O34" s="163">
        <f t="shared" si="2"/>
        <v>30195</v>
      </c>
    </row>
    <row r="35" spans="1:15" x14ac:dyDescent="0.25">
      <c r="A35" s="11" t="s">
        <v>113</v>
      </c>
      <c r="B35" s="20" t="s">
        <v>114</v>
      </c>
      <c r="C35" s="12" t="s">
        <v>19</v>
      </c>
      <c r="D35" s="117" t="s">
        <v>308</v>
      </c>
      <c r="E35" s="105"/>
      <c r="F35" s="105">
        <v>1000</v>
      </c>
      <c r="G35" s="14">
        <v>500</v>
      </c>
      <c r="H35" s="14"/>
      <c r="I35" s="160">
        <f t="shared" si="0"/>
        <v>1500</v>
      </c>
      <c r="J35" s="14">
        <v>30000</v>
      </c>
      <c r="K35" s="14">
        <v>1200</v>
      </c>
      <c r="L35" s="152">
        <f t="shared" si="1"/>
        <v>32700</v>
      </c>
      <c r="M35" s="19">
        <v>2500</v>
      </c>
      <c r="N35" s="125">
        <v>1030</v>
      </c>
      <c r="O35" s="163">
        <f t="shared" si="2"/>
        <v>29170</v>
      </c>
    </row>
    <row r="36" spans="1:15" x14ac:dyDescent="0.25">
      <c r="A36" s="133" t="s">
        <v>117</v>
      </c>
      <c r="B36" s="20" t="s">
        <v>118</v>
      </c>
      <c r="C36" s="12" t="s">
        <v>19</v>
      </c>
      <c r="D36" s="143">
        <v>1347174311</v>
      </c>
      <c r="E36" s="145">
        <v>2500</v>
      </c>
      <c r="F36" s="145">
        <v>1000</v>
      </c>
      <c r="G36" s="131">
        <v>3000</v>
      </c>
      <c r="H36" s="131">
        <v>2000</v>
      </c>
      <c r="I36" s="160">
        <f>SUM(E36:H36)</f>
        <v>8500</v>
      </c>
      <c r="J36" s="131">
        <v>25000</v>
      </c>
      <c r="K36" s="131">
        <v>1800</v>
      </c>
      <c r="L36" s="152">
        <f>I36+J36+K36</f>
        <v>35300</v>
      </c>
      <c r="M36" s="17"/>
      <c r="N36" s="124">
        <v>550</v>
      </c>
      <c r="O36" s="163">
        <f t="shared" si="2"/>
        <v>34750</v>
      </c>
    </row>
    <row r="37" spans="1:15" x14ac:dyDescent="0.25">
      <c r="A37" s="11" t="s">
        <v>119</v>
      </c>
      <c r="B37" s="20" t="s">
        <v>159</v>
      </c>
      <c r="C37" s="12" t="s">
        <v>34</v>
      </c>
      <c r="D37" s="118" t="s">
        <v>177</v>
      </c>
      <c r="E37" s="106">
        <v>1000</v>
      </c>
      <c r="F37" s="106"/>
      <c r="G37" s="14">
        <v>2000</v>
      </c>
      <c r="H37" s="14"/>
      <c r="I37" s="160">
        <f t="shared" si="0"/>
        <v>3000</v>
      </c>
      <c r="J37" s="14">
        <v>18000</v>
      </c>
      <c r="K37" s="14">
        <v>1200</v>
      </c>
      <c r="L37" s="152">
        <f t="shared" si="1"/>
        <v>22200</v>
      </c>
      <c r="M37" s="19">
        <f>675+1000</f>
        <v>1675</v>
      </c>
      <c r="N37" s="125">
        <v>500</v>
      </c>
      <c r="O37" s="163">
        <f t="shared" si="2"/>
        <v>20025</v>
      </c>
    </row>
    <row r="38" spans="1:15" x14ac:dyDescent="0.25">
      <c r="A38" s="11" t="s">
        <v>120</v>
      </c>
      <c r="B38" s="20" t="s">
        <v>121</v>
      </c>
      <c r="C38" s="12" t="s">
        <v>23</v>
      </c>
      <c r="D38" s="118" t="s">
        <v>122</v>
      </c>
      <c r="E38" s="106">
        <v>2000</v>
      </c>
      <c r="F38" s="106">
        <v>1500</v>
      </c>
      <c r="G38" s="14">
        <v>1000</v>
      </c>
      <c r="H38" s="14">
        <v>500</v>
      </c>
      <c r="I38" s="160">
        <f t="shared" si="0"/>
        <v>5000</v>
      </c>
      <c r="J38" s="14">
        <v>25000</v>
      </c>
      <c r="K38" s="14">
        <v>3000</v>
      </c>
      <c r="L38" s="152">
        <f t="shared" si="1"/>
        <v>33000</v>
      </c>
      <c r="M38" s="19"/>
      <c r="N38" s="125">
        <v>550</v>
      </c>
      <c r="O38" s="163">
        <f t="shared" si="2"/>
        <v>32450</v>
      </c>
    </row>
    <row r="39" spans="1:15" x14ac:dyDescent="0.25">
      <c r="A39" s="11" t="s">
        <v>123</v>
      </c>
      <c r="B39" s="20" t="s">
        <v>124</v>
      </c>
      <c r="C39" s="12" t="s">
        <v>34</v>
      </c>
      <c r="D39" s="118" t="s">
        <v>125</v>
      </c>
      <c r="E39" s="106">
        <v>1500</v>
      </c>
      <c r="F39" s="106">
        <v>2500</v>
      </c>
      <c r="G39" s="14">
        <v>2000</v>
      </c>
      <c r="H39" s="14">
        <v>1000</v>
      </c>
      <c r="I39" s="160">
        <f t="shared" si="0"/>
        <v>7000</v>
      </c>
      <c r="J39" s="14">
        <v>20000</v>
      </c>
      <c r="K39" s="14">
        <v>1800</v>
      </c>
      <c r="L39" s="152">
        <f t="shared" si="1"/>
        <v>28800</v>
      </c>
      <c r="M39" s="19"/>
      <c r="N39" s="125">
        <v>550</v>
      </c>
      <c r="O39" s="163">
        <f t="shared" si="2"/>
        <v>28250</v>
      </c>
    </row>
    <row r="40" spans="1:15" x14ac:dyDescent="0.25">
      <c r="A40" s="11" t="s">
        <v>126</v>
      </c>
      <c r="B40" s="12" t="s">
        <v>127</v>
      </c>
      <c r="C40" s="12" t="s">
        <v>27</v>
      </c>
      <c r="D40" s="118" t="s">
        <v>128</v>
      </c>
      <c r="E40" s="106">
        <v>1500</v>
      </c>
      <c r="F40" s="106">
        <v>1500</v>
      </c>
      <c r="G40" s="14">
        <v>1500</v>
      </c>
      <c r="H40" s="14">
        <v>1000</v>
      </c>
      <c r="I40" s="160">
        <f t="shared" si="0"/>
        <v>5500</v>
      </c>
      <c r="J40" s="14">
        <v>20000</v>
      </c>
      <c r="K40" s="14">
        <v>3000</v>
      </c>
      <c r="L40" s="152">
        <f t="shared" si="1"/>
        <v>28500</v>
      </c>
      <c r="M40" s="19"/>
      <c r="N40" s="125">
        <v>500</v>
      </c>
      <c r="O40" s="163">
        <f t="shared" si="2"/>
        <v>28000</v>
      </c>
    </row>
    <row r="41" spans="1:15" x14ac:dyDescent="0.25">
      <c r="A41" s="11" t="s">
        <v>129</v>
      </c>
      <c r="B41" s="12" t="s">
        <v>175</v>
      </c>
      <c r="C41" s="12" t="s">
        <v>34</v>
      </c>
      <c r="D41" s="13" t="s">
        <v>161</v>
      </c>
      <c r="E41" s="14">
        <v>3000</v>
      </c>
      <c r="F41" s="14">
        <v>2000</v>
      </c>
      <c r="G41" s="14">
        <v>3000</v>
      </c>
      <c r="H41" s="14">
        <v>2000</v>
      </c>
      <c r="I41" s="160">
        <f t="shared" si="0"/>
        <v>10000</v>
      </c>
      <c r="J41" s="14">
        <v>35000</v>
      </c>
      <c r="K41" s="14">
        <v>2800</v>
      </c>
      <c r="L41" s="152">
        <f t="shared" si="1"/>
        <v>47800</v>
      </c>
      <c r="M41" s="19"/>
      <c r="N41" s="125">
        <v>550</v>
      </c>
      <c r="O41" s="163">
        <f t="shared" si="2"/>
        <v>47250</v>
      </c>
    </row>
    <row r="42" spans="1:15" x14ac:dyDescent="0.25">
      <c r="A42" s="11" t="s">
        <v>132</v>
      </c>
      <c r="B42" s="12" t="s">
        <v>176</v>
      </c>
      <c r="C42" s="12" t="s">
        <v>34</v>
      </c>
      <c r="D42" s="13" t="s">
        <v>163</v>
      </c>
      <c r="E42" s="14">
        <v>1500</v>
      </c>
      <c r="F42" s="14">
        <v>500</v>
      </c>
      <c r="G42" s="14">
        <v>1500</v>
      </c>
      <c r="H42" s="14">
        <v>500</v>
      </c>
      <c r="I42" s="160">
        <f t="shared" si="0"/>
        <v>4000</v>
      </c>
      <c r="J42" s="14">
        <v>19000</v>
      </c>
      <c r="K42" s="14">
        <v>3000</v>
      </c>
      <c r="L42" s="152">
        <f t="shared" si="1"/>
        <v>26000</v>
      </c>
      <c r="M42" s="19"/>
      <c r="N42" s="125">
        <v>500</v>
      </c>
      <c r="O42" s="163">
        <f t="shared" si="2"/>
        <v>25500</v>
      </c>
    </row>
    <row r="43" spans="1:15" x14ac:dyDescent="0.25">
      <c r="A43" s="133" t="s">
        <v>160</v>
      </c>
      <c r="B43" s="12" t="s">
        <v>228</v>
      </c>
      <c r="C43" s="12" t="s">
        <v>34</v>
      </c>
      <c r="D43" s="13" t="s">
        <v>183</v>
      </c>
      <c r="E43" s="131">
        <v>2000</v>
      </c>
      <c r="F43" s="131">
        <v>500</v>
      </c>
      <c r="G43" s="131">
        <v>2500</v>
      </c>
      <c r="H43" s="131">
        <v>2500</v>
      </c>
      <c r="I43" s="160">
        <f t="shared" si="0"/>
        <v>7500</v>
      </c>
      <c r="J43" s="131">
        <v>25000</v>
      </c>
      <c r="K43" s="131">
        <v>1800</v>
      </c>
      <c r="L43" s="152">
        <f t="shared" si="1"/>
        <v>34300</v>
      </c>
      <c r="M43" s="17"/>
      <c r="N43" s="124">
        <v>550</v>
      </c>
      <c r="O43" s="163">
        <f t="shared" si="2"/>
        <v>33750</v>
      </c>
    </row>
    <row r="44" spans="1:15" x14ac:dyDescent="0.25">
      <c r="A44" s="133" t="s">
        <v>162</v>
      </c>
      <c r="B44" s="12" t="s">
        <v>221</v>
      </c>
      <c r="C44" s="12" t="s">
        <v>34</v>
      </c>
      <c r="D44" s="13" t="s">
        <v>222</v>
      </c>
      <c r="E44" s="131"/>
      <c r="F44" s="131"/>
      <c r="G44" s="131"/>
      <c r="H44" s="131"/>
      <c r="I44" s="160">
        <f t="shared" si="0"/>
        <v>0</v>
      </c>
      <c r="J44" s="131">
        <v>18000</v>
      </c>
      <c r="K44" s="131">
        <v>3000</v>
      </c>
      <c r="L44" s="152">
        <f t="shared" si="1"/>
        <v>21000</v>
      </c>
      <c r="M44" s="17"/>
      <c r="N44" s="124">
        <v>495</v>
      </c>
      <c r="O44" s="163">
        <f t="shared" si="2"/>
        <v>20505</v>
      </c>
    </row>
    <row r="45" spans="1:15" x14ac:dyDescent="0.25">
      <c r="A45" s="11" t="s">
        <v>181</v>
      </c>
      <c r="B45" s="12" t="s">
        <v>225</v>
      </c>
      <c r="C45" s="12" t="s">
        <v>168</v>
      </c>
      <c r="D45" s="13" t="s">
        <v>296</v>
      </c>
      <c r="E45" s="14">
        <v>2000</v>
      </c>
      <c r="F45" s="14">
        <v>2000</v>
      </c>
      <c r="G45" s="14">
        <v>2000</v>
      </c>
      <c r="H45" s="14"/>
      <c r="I45" s="160">
        <f t="shared" si="0"/>
        <v>6000</v>
      </c>
      <c r="J45" s="14">
        <v>25000</v>
      </c>
      <c r="K45" s="14">
        <v>1200</v>
      </c>
      <c r="L45" s="152">
        <f t="shared" si="1"/>
        <v>32200</v>
      </c>
      <c r="M45" s="19"/>
      <c r="N45" s="125">
        <v>1500</v>
      </c>
      <c r="O45" s="163">
        <f t="shared" si="2"/>
        <v>30700</v>
      </c>
    </row>
    <row r="46" spans="1:15" x14ac:dyDescent="0.25">
      <c r="A46" s="102">
        <v>43</v>
      </c>
      <c r="B46" s="12" t="s">
        <v>257</v>
      </c>
      <c r="C46" s="12" t="s">
        <v>34</v>
      </c>
      <c r="D46" s="13" t="s">
        <v>149</v>
      </c>
      <c r="E46" s="131"/>
      <c r="F46" s="131"/>
      <c r="G46" s="131"/>
      <c r="H46" s="131"/>
      <c r="I46" s="160">
        <f t="shared" si="0"/>
        <v>0</v>
      </c>
      <c r="J46" s="131">
        <v>25000</v>
      </c>
      <c r="K46" s="131">
        <v>1800</v>
      </c>
      <c r="L46" s="152">
        <f t="shared" si="1"/>
        <v>26800</v>
      </c>
      <c r="M46" s="17"/>
      <c r="N46" s="124">
        <v>550</v>
      </c>
      <c r="O46" s="163">
        <f t="shared" si="2"/>
        <v>26250</v>
      </c>
    </row>
    <row r="47" spans="1:15" x14ac:dyDescent="0.25">
      <c r="A47" s="102">
        <v>44</v>
      </c>
      <c r="B47" s="12" t="s">
        <v>275</v>
      </c>
      <c r="C47" s="12" t="s">
        <v>23</v>
      </c>
      <c r="D47" s="13" t="s">
        <v>277</v>
      </c>
      <c r="E47" s="131">
        <v>1000</v>
      </c>
      <c r="F47" s="131">
        <v>1000</v>
      </c>
      <c r="G47" s="131">
        <v>1000</v>
      </c>
      <c r="H47" s="131">
        <v>1000</v>
      </c>
      <c r="I47" s="160">
        <f t="shared" si="0"/>
        <v>4000</v>
      </c>
      <c r="J47" s="131">
        <v>20000</v>
      </c>
      <c r="K47" s="131">
        <v>1800</v>
      </c>
      <c r="L47" s="152">
        <f t="shared" si="1"/>
        <v>25800</v>
      </c>
      <c r="M47" s="17"/>
      <c r="N47" s="124">
        <v>500</v>
      </c>
      <c r="O47" s="163">
        <f t="shared" si="2"/>
        <v>25300</v>
      </c>
    </row>
    <row r="48" spans="1:15" x14ac:dyDescent="0.25">
      <c r="A48" s="133">
        <v>45</v>
      </c>
      <c r="B48" s="12" t="s">
        <v>286</v>
      </c>
      <c r="C48" s="12" t="s">
        <v>56</v>
      </c>
      <c r="D48" s="13" t="s">
        <v>282</v>
      </c>
      <c r="E48" s="131"/>
      <c r="F48" s="131"/>
      <c r="G48" s="131"/>
      <c r="H48" s="131"/>
      <c r="I48" s="160">
        <f t="shared" si="0"/>
        <v>0</v>
      </c>
      <c r="J48" s="131">
        <v>20000</v>
      </c>
      <c r="K48" s="131">
        <v>1200</v>
      </c>
      <c r="L48" s="152">
        <f t="shared" si="1"/>
        <v>21200</v>
      </c>
      <c r="M48" s="17">
        <v>5000</v>
      </c>
      <c r="N48" s="124">
        <v>500</v>
      </c>
      <c r="O48" s="163">
        <f t="shared" si="2"/>
        <v>15700</v>
      </c>
    </row>
    <row r="49" spans="1:15" x14ac:dyDescent="0.25">
      <c r="A49" s="133">
        <v>46</v>
      </c>
      <c r="B49" s="12" t="s">
        <v>280</v>
      </c>
      <c r="C49" s="12" t="s">
        <v>27</v>
      </c>
      <c r="D49" s="13" t="s">
        <v>281</v>
      </c>
      <c r="E49" s="131"/>
      <c r="F49" s="131"/>
      <c r="G49" s="131"/>
      <c r="H49" s="131"/>
      <c r="I49" s="160">
        <f t="shared" si="0"/>
        <v>0</v>
      </c>
      <c r="J49" s="131">
        <v>20000</v>
      </c>
      <c r="K49" s="131">
        <v>1200</v>
      </c>
      <c r="L49" s="152">
        <f t="shared" si="1"/>
        <v>21200</v>
      </c>
      <c r="M49" s="17">
        <v>5000</v>
      </c>
      <c r="N49" s="124">
        <v>500</v>
      </c>
      <c r="O49" s="163">
        <f t="shared" si="2"/>
        <v>15700</v>
      </c>
    </row>
    <row r="50" spans="1:15" x14ac:dyDescent="0.25">
      <c r="A50" s="133">
        <v>47</v>
      </c>
      <c r="B50" s="12" t="s">
        <v>298</v>
      </c>
      <c r="C50" s="12" t="s">
        <v>27</v>
      </c>
      <c r="D50" s="13" t="s">
        <v>302</v>
      </c>
      <c r="E50" s="131"/>
      <c r="F50" s="131"/>
      <c r="G50" s="131"/>
      <c r="H50" s="131"/>
      <c r="I50" s="160">
        <f t="shared" si="0"/>
        <v>0</v>
      </c>
      <c r="J50" s="131">
        <v>10000</v>
      </c>
      <c r="K50" s="131">
        <v>3000</v>
      </c>
      <c r="L50" s="152">
        <f t="shared" si="1"/>
        <v>13000</v>
      </c>
      <c r="M50" s="17"/>
      <c r="N50" s="124">
        <v>500</v>
      </c>
      <c r="O50" s="163">
        <f t="shared" si="2"/>
        <v>12500</v>
      </c>
    </row>
    <row r="51" spans="1:15" x14ac:dyDescent="0.25">
      <c r="A51" s="133">
        <v>48</v>
      </c>
      <c r="B51" s="12" t="s">
        <v>299</v>
      </c>
      <c r="C51" s="12" t="s">
        <v>56</v>
      </c>
      <c r="D51" s="13" t="s">
        <v>300</v>
      </c>
      <c r="E51" s="131"/>
      <c r="F51" s="131"/>
      <c r="G51" s="131">
        <v>4000</v>
      </c>
      <c r="H51" s="131"/>
      <c r="I51" s="160">
        <f t="shared" si="0"/>
        <v>4000</v>
      </c>
      <c r="J51" s="131">
        <v>10000</v>
      </c>
      <c r="K51" s="131">
        <v>1800</v>
      </c>
      <c r="L51" s="152">
        <f t="shared" si="1"/>
        <v>15800</v>
      </c>
      <c r="M51" s="17"/>
      <c r="N51" s="124">
        <v>500</v>
      </c>
      <c r="O51" s="163">
        <f t="shared" si="2"/>
        <v>15300</v>
      </c>
    </row>
    <row r="52" spans="1:15" s="149" customFormat="1" x14ac:dyDescent="0.25">
      <c r="A52" s="146"/>
      <c r="B52" s="147" t="s">
        <v>310</v>
      </c>
      <c r="C52" s="147" t="s">
        <v>56</v>
      </c>
      <c r="D52" s="148" t="s">
        <v>309</v>
      </c>
      <c r="E52" s="17"/>
      <c r="F52" s="17"/>
      <c r="G52" s="17"/>
      <c r="H52" s="17"/>
      <c r="I52" s="160"/>
      <c r="J52" s="17">
        <v>6910</v>
      </c>
      <c r="K52" s="17"/>
      <c r="L52" s="153">
        <f t="shared" si="1"/>
        <v>6910</v>
      </c>
      <c r="M52" s="17"/>
      <c r="N52" s="17"/>
      <c r="O52" s="164">
        <f t="shared" si="2"/>
        <v>6910</v>
      </c>
    </row>
    <row r="53" spans="1:15" x14ac:dyDescent="0.25">
      <c r="A53" s="11" t="s">
        <v>278</v>
      </c>
      <c r="B53" s="12" t="s">
        <v>130</v>
      </c>
      <c r="C53" s="12"/>
      <c r="D53" s="13"/>
      <c r="E53" s="14"/>
      <c r="F53" s="14"/>
      <c r="G53" s="14"/>
      <c r="H53" s="14"/>
      <c r="I53" s="160">
        <f t="shared" si="0"/>
        <v>0</v>
      </c>
      <c r="J53" s="14">
        <v>100000</v>
      </c>
      <c r="K53" s="14"/>
      <c r="L53" s="152">
        <f t="shared" si="1"/>
        <v>100000</v>
      </c>
      <c r="M53" s="19"/>
      <c r="N53" s="125">
        <v>1375</v>
      </c>
      <c r="O53" s="163">
        <f t="shared" si="2"/>
        <v>98625</v>
      </c>
    </row>
    <row r="54" spans="1:15" x14ac:dyDescent="0.25">
      <c r="A54" s="11" t="s">
        <v>279</v>
      </c>
      <c r="B54" s="12" t="s">
        <v>133</v>
      </c>
      <c r="C54" s="12"/>
      <c r="D54" s="53"/>
      <c r="E54" s="8"/>
      <c r="F54" s="8"/>
      <c r="G54" s="14"/>
      <c r="H54" s="14"/>
      <c r="I54" s="160">
        <f t="shared" si="0"/>
        <v>0</v>
      </c>
      <c r="J54" s="14">
        <v>150000</v>
      </c>
      <c r="K54" s="14"/>
      <c r="L54" s="152">
        <f t="shared" si="1"/>
        <v>150000</v>
      </c>
      <c r="M54" s="19"/>
      <c r="N54" s="125">
        <v>2000</v>
      </c>
      <c r="O54" s="163">
        <f t="shared" si="2"/>
        <v>148000</v>
      </c>
    </row>
    <row r="55" spans="1:15" x14ac:dyDescent="0.25">
      <c r="A55" s="99"/>
      <c r="B55" s="2"/>
      <c r="C55" s="2"/>
      <c r="D55" s="53" t="s">
        <v>224</v>
      </c>
      <c r="E55" s="8"/>
      <c r="F55" s="8"/>
      <c r="G55" s="14"/>
      <c r="H55" s="14"/>
      <c r="I55" s="159">
        <f t="shared" ref="I55:O55" si="3">SUM(I5:I54)</f>
        <v>186500</v>
      </c>
      <c r="J55" s="100">
        <f t="shared" si="3"/>
        <v>1367910</v>
      </c>
      <c r="K55" s="100">
        <f t="shared" si="3"/>
        <v>239700</v>
      </c>
      <c r="L55" s="152">
        <f t="shared" si="3"/>
        <v>1794110</v>
      </c>
      <c r="M55" s="111">
        <f t="shared" si="3"/>
        <v>31005</v>
      </c>
      <c r="N55" s="126">
        <f t="shared" si="3"/>
        <v>29606.25</v>
      </c>
      <c r="O55" s="165">
        <f t="shared" si="3"/>
        <v>1733498.75</v>
      </c>
    </row>
    <row r="56" spans="1:15" x14ac:dyDescent="0.25">
      <c r="A56" s="11"/>
      <c r="B56" s="12"/>
      <c r="C56" s="12"/>
      <c r="D56" s="13"/>
      <c r="E56" s="14"/>
      <c r="F56" s="14"/>
      <c r="G56" s="14"/>
      <c r="H56" s="14"/>
      <c r="I56" s="160"/>
      <c r="J56" s="14"/>
      <c r="K56" s="14"/>
      <c r="L56" s="152"/>
      <c r="M56" s="19"/>
      <c r="N56" s="125"/>
      <c r="O56" s="163"/>
    </row>
    <row r="57" spans="1:15" x14ac:dyDescent="0.25">
      <c r="A57" s="2" t="s">
        <v>135</v>
      </c>
      <c r="B57" s="2"/>
      <c r="C57" s="2"/>
      <c r="D57" s="2"/>
      <c r="E57" s="8"/>
      <c r="F57" s="8"/>
      <c r="G57" s="14"/>
      <c r="H57" s="14"/>
      <c r="I57" s="160"/>
      <c r="J57" s="14"/>
      <c r="K57" s="14"/>
      <c r="L57" s="152"/>
      <c r="M57" s="34"/>
      <c r="N57" s="127"/>
      <c r="O57" s="166"/>
    </row>
    <row r="58" spans="1:15" x14ac:dyDescent="0.25">
      <c r="A58" s="20">
        <v>1</v>
      </c>
      <c r="B58" s="12" t="s">
        <v>274</v>
      </c>
      <c r="C58" s="12" t="s">
        <v>23</v>
      </c>
      <c r="D58" s="13" t="s">
        <v>137</v>
      </c>
      <c r="E58" s="14"/>
      <c r="F58" s="14"/>
      <c r="G58" s="14"/>
      <c r="H58" s="14"/>
      <c r="I58" s="160">
        <f t="shared" ref="I58:I63" si="4">SUM(G58:G58)</f>
        <v>0</v>
      </c>
      <c r="J58" s="14">
        <v>30000</v>
      </c>
      <c r="K58" s="14"/>
      <c r="L58" s="152">
        <f>I58+J58+K58</f>
        <v>30000</v>
      </c>
      <c r="M58" s="19"/>
      <c r="N58" s="125">
        <v>550</v>
      </c>
      <c r="O58" s="163">
        <f>L58-M58-N58</f>
        <v>29450</v>
      </c>
    </row>
    <row r="59" spans="1:15" x14ac:dyDescent="0.25">
      <c r="A59" s="20">
        <v>2</v>
      </c>
      <c r="B59" s="12" t="s">
        <v>273</v>
      </c>
      <c r="C59" s="12" t="s">
        <v>16</v>
      </c>
      <c r="D59" s="13" t="s">
        <v>139</v>
      </c>
      <c r="E59" s="14"/>
      <c r="F59" s="14"/>
      <c r="G59" s="14"/>
      <c r="H59" s="14"/>
      <c r="I59" s="160">
        <f t="shared" si="4"/>
        <v>0</v>
      </c>
      <c r="J59" s="14">
        <v>20000</v>
      </c>
      <c r="K59" s="14"/>
      <c r="L59" s="152">
        <f t="shared" ref="L59:L62" si="5">I59+J59+K59</f>
        <v>20000</v>
      </c>
      <c r="M59" s="19"/>
      <c r="N59" s="125">
        <v>500</v>
      </c>
      <c r="O59" s="163">
        <f t="shared" ref="O59:O62" si="6">L59-M59-N59</f>
        <v>19500</v>
      </c>
    </row>
    <row r="60" spans="1:15" x14ac:dyDescent="0.25">
      <c r="A60" s="20">
        <v>3</v>
      </c>
      <c r="B60" s="12" t="s">
        <v>307</v>
      </c>
      <c r="C60" s="21" t="s">
        <v>56</v>
      </c>
      <c r="D60" s="13" t="s">
        <v>141</v>
      </c>
      <c r="E60" s="131"/>
      <c r="F60" s="131"/>
      <c r="G60" s="131"/>
      <c r="H60" s="131"/>
      <c r="I60" s="160">
        <f t="shared" si="4"/>
        <v>0</v>
      </c>
      <c r="J60" s="131">
        <v>23000</v>
      </c>
      <c r="K60" s="131"/>
      <c r="L60" s="152">
        <f t="shared" si="5"/>
        <v>23000</v>
      </c>
      <c r="M60" s="17"/>
      <c r="N60" s="124">
        <v>500</v>
      </c>
      <c r="O60" s="163">
        <f t="shared" si="6"/>
        <v>22500</v>
      </c>
    </row>
    <row r="61" spans="1:15" x14ac:dyDescent="0.25">
      <c r="A61" s="20">
        <v>4</v>
      </c>
      <c r="B61" s="12" t="s">
        <v>142</v>
      </c>
      <c r="C61" s="12" t="s">
        <v>34</v>
      </c>
      <c r="D61" s="13" t="s">
        <v>143</v>
      </c>
      <c r="E61" s="14"/>
      <c r="F61" s="14"/>
      <c r="G61" s="14"/>
      <c r="H61" s="14"/>
      <c r="I61" s="160">
        <f t="shared" si="4"/>
        <v>0</v>
      </c>
      <c r="J61" s="14">
        <v>0</v>
      </c>
      <c r="K61" s="14"/>
      <c r="L61" s="152">
        <f t="shared" si="5"/>
        <v>0</v>
      </c>
      <c r="M61" s="19"/>
      <c r="N61" s="125"/>
      <c r="O61" s="163">
        <f t="shared" si="6"/>
        <v>0</v>
      </c>
    </row>
    <row r="62" spans="1:15" x14ac:dyDescent="0.25">
      <c r="A62" s="20">
        <v>5</v>
      </c>
      <c r="B62" s="12" t="s">
        <v>144</v>
      </c>
      <c r="C62" s="12" t="s">
        <v>16</v>
      </c>
      <c r="D62" s="13" t="s">
        <v>145</v>
      </c>
      <c r="E62" s="14"/>
      <c r="F62" s="14"/>
      <c r="G62" s="14"/>
      <c r="H62" s="14"/>
      <c r="I62" s="160">
        <f t="shared" si="4"/>
        <v>0</v>
      </c>
      <c r="J62" s="14">
        <v>0</v>
      </c>
      <c r="K62" s="14"/>
      <c r="L62" s="152">
        <f t="shared" si="5"/>
        <v>0</v>
      </c>
      <c r="M62" s="19"/>
      <c r="N62" s="125"/>
      <c r="O62" s="163">
        <f t="shared" si="6"/>
        <v>0</v>
      </c>
    </row>
    <row r="63" spans="1:15" x14ac:dyDescent="0.25">
      <c r="A63" s="2"/>
      <c r="B63" s="2"/>
      <c r="C63" s="2"/>
      <c r="D63" s="53" t="s">
        <v>146</v>
      </c>
      <c r="E63" s="8"/>
      <c r="F63" s="8"/>
      <c r="G63" s="14"/>
      <c r="H63" s="14"/>
      <c r="I63" s="160">
        <f t="shared" si="4"/>
        <v>0</v>
      </c>
      <c r="J63" s="18">
        <f t="shared" ref="J63:O63" si="7">SUM(J58:J62)</f>
        <v>73000</v>
      </c>
      <c r="K63" s="18">
        <f t="shared" si="7"/>
        <v>0</v>
      </c>
      <c r="L63" s="154">
        <f t="shared" si="7"/>
        <v>73000</v>
      </c>
      <c r="M63" s="55">
        <f t="shared" si="7"/>
        <v>0</v>
      </c>
      <c r="N63" s="127">
        <f t="shared" si="7"/>
        <v>1550</v>
      </c>
      <c r="O63" s="163">
        <f t="shared" si="7"/>
        <v>71450</v>
      </c>
    </row>
    <row r="64" spans="1:15" x14ac:dyDescent="0.25">
      <c r="A64" s="2" t="s">
        <v>147</v>
      </c>
      <c r="B64" s="20"/>
      <c r="C64" s="20"/>
      <c r="D64" s="13"/>
      <c r="E64" s="14"/>
      <c r="F64" s="14"/>
      <c r="G64" s="14"/>
      <c r="H64" s="14"/>
      <c r="I64" s="160"/>
      <c r="J64" s="14"/>
      <c r="K64" s="14"/>
      <c r="L64" s="152"/>
      <c r="M64" s="19"/>
      <c r="N64" s="125"/>
      <c r="O64" s="166"/>
    </row>
    <row r="65" spans="1:15" x14ac:dyDescent="0.25">
      <c r="A65" s="20"/>
      <c r="B65" s="20"/>
      <c r="C65" s="20"/>
      <c r="D65" s="20"/>
      <c r="E65" s="15"/>
      <c r="F65" s="15"/>
      <c r="G65" s="14"/>
      <c r="H65" s="14"/>
      <c r="I65" s="160"/>
      <c r="J65" s="20"/>
      <c r="K65" s="20"/>
      <c r="L65" s="155"/>
      <c r="M65" s="20"/>
      <c r="N65" s="129"/>
      <c r="O65" s="167"/>
    </row>
    <row r="66" spans="1:15" x14ac:dyDescent="0.25">
      <c r="A66" s="20">
        <v>1</v>
      </c>
      <c r="B66" s="12" t="s">
        <v>150</v>
      </c>
      <c r="C66" s="12" t="s">
        <v>27</v>
      </c>
      <c r="D66" s="13" t="s">
        <v>151</v>
      </c>
      <c r="E66" s="14"/>
      <c r="F66" s="14"/>
      <c r="G66" s="14"/>
      <c r="H66" s="14"/>
      <c r="I66" s="160">
        <f>SUM(G66:G66)</f>
        <v>0</v>
      </c>
      <c r="J66" s="14">
        <v>30000</v>
      </c>
      <c r="K66" s="14"/>
      <c r="L66" s="152">
        <f>I66+J66+K66</f>
        <v>30000</v>
      </c>
      <c r="M66" s="19"/>
      <c r="N66" s="125"/>
      <c r="O66" s="163">
        <f>L66-M66-N66</f>
        <v>30000</v>
      </c>
    </row>
    <row r="67" spans="1:15" x14ac:dyDescent="0.25">
      <c r="A67" s="20">
        <v>2</v>
      </c>
      <c r="B67" s="12" t="s">
        <v>152</v>
      </c>
      <c r="C67" s="12" t="s">
        <v>27</v>
      </c>
      <c r="D67" s="13" t="s">
        <v>153</v>
      </c>
      <c r="E67" s="14"/>
      <c r="F67" s="14"/>
      <c r="G67" s="14"/>
      <c r="H67" s="14"/>
      <c r="I67" s="160">
        <f>SUM(G67:G67)</f>
        <v>0</v>
      </c>
      <c r="J67" s="14">
        <v>25000</v>
      </c>
      <c r="K67" s="14"/>
      <c r="L67" s="152">
        <f t="shared" ref="L67:L68" si="8">I67+J67+K67</f>
        <v>25000</v>
      </c>
      <c r="M67" s="19"/>
      <c r="N67" s="125"/>
      <c r="O67" s="163">
        <f t="shared" ref="O67:O68" si="9">L67-M67-N67</f>
        <v>25000</v>
      </c>
    </row>
    <row r="68" spans="1:15" x14ac:dyDescent="0.25">
      <c r="A68" s="20">
        <v>3</v>
      </c>
      <c r="B68" s="12" t="s">
        <v>154</v>
      </c>
      <c r="C68" s="12" t="s">
        <v>19</v>
      </c>
      <c r="D68" s="13" t="s">
        <v>155</v>
      </c>
      <c r="E68" s="131"/>
      <c r="F68" s="131"/>
      <c r="G68" s="131"/>
      <c r="H68" s="131"/>
      <c r="I68" s="160">
        <f>SUM(G68:G68)</f>
        <v>0</v>
      </c>
      <c r="J68" s="131">
        <v>20000</v>
      </c>
      <c r="K68" s="131"/>
      <c r="L68" s="152">
        <f t="shared" si="8"/>
        <v>20000</v>
      </c>
      <c r="M68" s="17"/>
      <c r="N68" s="124">
        <v>500</v>
      </c>
      <c r="O68" s="163">
        <f t="shared" si="9"/>
        <v>19500</v>
      </c>
    </row>
    <row r="69" spans="1:15" x14ac:dyDescent="0.25">
      <c r="A69" s="2"/>
      <c r="B69" s="2"/>
      <c r="C69" s="2"/>
      <c r="D69" s="53" t="s">
        <v>156</v>
      </c>
      <c r="E69" s="8"/>
      <c r="F69" s="8"/>
      <c r="G69" s="14"/>
      <c r="H69" s="14"/>
      <c r="I69" s="160">
        <f>SUM(G69:G69)</f>
        <v>0</v>
      </c>
      <c r="J69" s="8">
        <f>SUM(J66:J68)</f>
        <v>75000</v>
      </c>
      <c r="K69" s="8">
        <f t="shared" ref="K69:M69" si="10">SUM(K66:K68)</f>
        <v>0</v>
      </c>
      <c r="L69" s="152">
        <f>SUM(L66:L68)</f>
        <v>75000</v>
      </c>
      <c r="M69" s="34">
        <f t="shared" si="10"/>
        <v>0</v>
      </c>
      <c r="N69" s="127">
        <f>SUM(N66:N68)</f>
        <v>500</v>
      </c>
      <c r="O69" s="165">
        <f>SUM(O66:O68)</f>
        <v>74500</v>
      </c>
    </row>
    <row r="70" spans="1:15" x14ac:dyDescent="0.25">
      <c r="A70" s="2" t="s">
        <v>157</v>
      </c>
      <c r="B70" s="20"/>
      <c r="C70" s="20"/>
      <c r="D70" s="13"/>
      <c r="E70" s="14"/>
      <c r="F70" s="14"/>
      <c r="G70" s="14"/>
      <c r="H70" s="14"/>
      <c r="I70" s="160"/>
      <c r="J70" s="14"/>
      <c r="K70" s="14"/>
      <c r="L70" s="152"/>
      <c r="M70" s="19"/>
      <c r="N70" s="125"/>
      <c r="O70" s="166"/>
    </row>
    <row r="71" spans="1:15" x14ac:dyDescent="0.25">
      <c r="A71" s="20">
        <v>1</v>
      </c>
      <c r="B71" s="12" t="s">
        <v>276</v>
      </c>
      <c r="C71" s="12" t="s">
        <v>19</v>
      </c>
      <c r="D71" s="13">
        <v>1236977351</v>
      </c>
      <c r="E71" s="14"/>
      <c r="F71" s="14"/>
      <c r="G71" s="14"/>
      <c r="H71" s="14"/>
      <c r="I71" s="160">
        <f>SUM(G71:G71)</f>
        <v>0</v>
      </c>
      <c r="J71" s="14">
        <v>40000</v>
      </c>
      <c r="K71" s="14"/>
      <c r="L71" s="152">
        <f>J71+I71+K71</f>
        <v>40000</v>
      </c>
      <c r="M71" s="19"/>
      <c r="N71" s="125">
        <v>650</v>
      </c>
      <c r="O71" s="163">
        <f>L71-M71-N71</f>
        <v>39350</v>
      </c>
    </row>
    <row r="72" spans="1:15" x14ac:dyDescent="0.25">
      <c r="A72" s="20"/>
      <c r="B72" s="20"/>
      <c r="C72" s="20"/>
      <c r="D72" s="20"/>
      <c r="E72" s="15"/>
      <c r="F72" s="15"/>
      <c r="G72" s="14"/>
      <c r="H72" s="14"/>
      <c r="I72" s="160"/>
      <c r="J72" s="20"/>
      <c r="K72" s="20"/>
      <c r="L72" s="155"/>
      <c r="M72" s="20"/>
      <c r="N72" s="129"/>
      <c r="O72" s="167"/>
    </row>
    <row r="73" spans="1:15" x14ac:dyDescent="0.25">
      <c r="A73" s="2" t="s">
        <v>229</v>
      </c>
      <c r="B73" s="12"/>
      <c r="C73" s="12"/>
      <c r="D73" s="13"/>
      <c r="E73" s="14"/>
      <c r="F73" s="14"/>
      <c r="G73" s="14"/>
      <c r="H73" s="14"/>
      <c r="I73" s="160"/>
      <c r="J73" s="14"/>
      <c r="K73" s="14"/>
      <c r="L73" s="152"/>
      <c r="M73" s="19"/>
      <c r="N73" s="125"/>
      <c r="O73" s="163"/>
    </row>
    <row r="74" spans="1:15" x14ac:dyDescent="0.25">
      <c r="A74" s="20">
        <v>1</v>
      </c>
      <c r="B74" s="12" t="s">
        <v>165</v>
      </c>
      <c r="C74" s="12" t="s">
        <v>27</v>
      </c>
      <c r="D74" s="13" t="s">
        <v>166</v>
      </c>
      <c r="E74" s="131"/>
      <c r="F74" s="131"/>
      <c r="G74" s="131"/>
      <c r="H74" s="131"/>
      <c r="I74" s="160">
        <f>SUM(E74:H74)</f>
        <v>0</v>
      </c>
      <c r="J74" s="131">
        <v>40000</v>
      </c>
      <c r="K74" s="131">
        <v>7900</v>
      </c>
      <c r="L74" s="152">
        <f>I74+J74+K74</f>
        <v>47900</v>
      </c>
      <c r="M74" s="17">
        <v>3800</v>
      </c>
      <c r="N74" s="124">
        <v>500</v>
      </c>
      <c r="O74" s="163">
        <f>L74-M74-N74</f>
        <v>43600</v>
      </c>
    </row>
    <row r="75" spans="1:15" x14ac:dyDescent="0.25">
      <c r="A75" s="20">
        <v>2</v>
      </c>
      <c r="B75" s="12" t="s">
        <v>167</v>
      </c>
      <c r="C75" s="64" t="s">
        <v>27</v>
      </c>
      <c r="D75" s="13" t="s">
        <v>169</v>
      </c>
      <c r="E75" s="14"/>
      <c r="F75" s="14"/>
      <c r="G75" s="14"/>
      <c r="H75" s="14">
        <v>3000</v>
      </c>
      <c r="I75" s="160">
        <f t="shared" ref="I75:I77" si="11">SUM(E75:H75)</f>
        <v>3000</v>
      </c>
      <c r="J75" s="14">
        <v>35000</v>
      </c>
      <c r="K75" s="14">
        <v>2800</v>
      </c>
      <c r="L75" s="152">
        <f t="shared" ref="L75:L77" si="12">I75+J75+K75</f>
        <v>40800</v>
      </c>
      <c r="M75" s="19"/>
      <c r="N75" s="125">
        <v>605</v>
      </c>
      <c r="O75" s="163">
        <f t="shared" ref="O75:O77" si="13">L75-M75-N75</f>
        <v>40195</v>
      </c>
    </row>
    <row r="76" spans="1:15" x14ac:dyDescent="0.25">
      <c r="A76" s="20">
        <v>3</v>
      </c>
      <c r="B76" s="12" t="s">
        <v>268</v>
      </c>
      <c r="C76" s="64" t="s">
        <v>27</v>
      </c>
      <c r="D76" s="13" t="s">
        <v>184</v>
      </c>
      <c r="E76" s="14"/>
      <c r="F76" s="14"/>
      <c r="G76" s="14">
        <v>1000</v>
      </c>
      <c r="H76" s="14">
        <v>2000</v>
      </c>
      <c r="I76" s="160">
        <f t="shared" si="11"/>
        <v>3000</v>
      </c>
      <c r="J76" s="14">
        <v>14400</v>
      </c>
      <c r="K76" s="14">
        <v>1200</v>
      </c>
      <c r="L76" s="152">
        <f t="shared" si="12"/>
        <v>18600</v>
      </c>
      <c r="M76" s="19">
        <v>1200</v>
      </c>
      <c r="N76" s="125">
        <v>460</v>
      </c>
      <c r="O76" s="163">
        <f t="shared" si="13"/>
        <v>16940</v>
      </c>
    </row>
    <row r="77" spans="1:15" x14ac:dyDescent="0.25">
      <c r="A77" s="20">
        <v>4</v>
      </c>
      <c r="B77" s="12" t="s">
        <v>171</v>
      </c>
      <c r="C77" s="12" t="s">
        <v>27</v>
      </c>
      <c r="D77" s="13" t="s">
        <v>172</v>
      </c>
      <c r="E77" s="14"/>
      <c r="F77" s="14"/>
      <c r="G77" s="14"/>
      <c r="H77" s="14"/>
      <c r="I77" s="160">
        <f t="shared" si="11"/>
        <v>0</v>
      </c>
      <c r="J77" s="14">
        <v>80000</v>
      </c>
      <c r="K77" s="14">
        <v>5600</v>
      </c>
      <c r="L77" s="152">
        <f t="shared" si="12"/>
        <v>85600</v>
      </c>
      <c r="M77" s="19"/>
      <c r="N77" s="125">
        <v>1075</v>
      </c>
      <c r="O77" s="163">
        <f t="shared" si="13"/>
        <v>84525</v>
      </c>
    </row>
    <row r="78" spans="1:15" x14ac:dyDescent="0.25">
      <c r="A78" s="2"/>
      <c r="B78" s="2"/>
      <c r="C78" s="65"/>
      <c r="D78" s="53" t="s">
        <v>173</v>
      </c>
      <c r="E78" s="8"/>
      <c r="F78" s="8"/>
      <c r="G78" s="14"/>
      <c r="H78" s="14"/>
      <c r="I78" s="159">
        <f>SUM(I74:I77)</f>
        <v>6000</v>
      </c>
      <c r="J78" s="8">
        <f t="shared" ref="J78:O78" si="14">SUM(J74:J77)</f>
        <v>169400</v>
      </c>
      <c r="K78" s="8">
        <f t="shared" si="14"/>
        <v>17500</v>
      </c>
      <c r="L78" s="152">
        <f>SUM(L74:L77)</f>
        <v>192900</v>
      </c>
      <c r="M78" s="34">
        <f t="shared" si="14"/>
        <v>5000</v>
      </c>
      <c r="N78" s="127">
        <f>SUM(N74:N77)</f>
        <v>2640</v>
      </c>
      <c r="O78" s="163">
        <f t="shared" si="14"/>
        <v>185260</v>
      </c>
    </row>
    <row r="79" spans="1:15" x14ac:dyDescent="0.25">
      <c r="A79" s="2"/>
      <c r="B79" s="2"/>
      <c r="C79" s="65"/>
      <c r="D79" s="53"/>
      <c r="E79" s="8"/>
      <c r="F79" s="8"/>
      <c r="G79" s="14"/>
      <c r="H79" s="14"/>
      <c r="I79" s="160"/>
      <c r="J79" s="8"/>
      <c r="K79" s="8"/>
      <c r="L79" s="152"/>
      <c r="M79" s="34"/>
      <c r="N79" s="127"/>
      <c r="O79" s="163"/>
    </row>
    <row r="80" spans="1:15" x14ac:dyDescent="0.25">
      <c r="A80" s="2"/>
      <c r="B80" s="2"/>
      <c r="C80" s="2"/>
      <c r="D80" s="2" t="s">
        <v>174</v>
      </c>
      <c r="E80" s="8"/>
      <c r="F80" s="8"/>
      <c r="G80" s="14"/>
      <c r="H80" s="14"/>
      <c r="I80" s="159"/>
      <c r="J80" s="8">
        <f t="shared" ref="J80:O80" si="15">J55+J63+J69+J71+J78</f>
        <v>1725310</v>
      </c>
      <c r="K80" s="8">
        <f t="shared" si="15"/>
        <v>257200</v>
      </c>
      <c r="L80" s="152">
        <f t="shared" si="15"/>
        <v>2175010</v>
      </c>
      <c r="M80" s="8">
        <f t="shared" si="15"/>
        <v>36005</v>
      </c>
      <c r="N80" s="127">
        <f>N55+N63+N69+N71+N78</f>
        <v>34946.25</v>
      </c>
      <c r="O80" s="165">
        <f t="shared" si="15"/>
        <v>2104058.75</v>
      </c>
    </row>
  </sheetData>
  <mergeCells count="3">
    <mergeCell ref="A1:O1"/>
    <mergeCell ref="M3:N3"/>
    <mergeCell ref="O3:O4"/>
  </mergeCells>
  <pageMargins left="0.25" right="0.25" top="0.75" bottom="0.75" header="0.3" footer="0.3"/>
  <pageSetup paperSize="9" scale="4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B20D-F44B-474A-88E5-BF2D9E0EFD5D}">
  <sheetPr>
    <pageSetUpPr fitToPage="1"/>
  </sheetPr>
  <dimension ref="A1:P82"/>
  <sheetViews>
    <sheetView zoomScale="85" zoomScaleNormal="85" workbookViewId="0">
      <selection activeCell="K6" sqref="K6"/>
    </sheetView>
  </sheetViews>
  <sheetFormatPr defaultRowHeight="15" x14ac:dyDescent="0.25"/>
  <cols>
    <col min="1" max="1" width="19.28515625" bestFit="1" customWidth="1"/>
    <col min="2" max="2" width="29.42578125" bestFit="1" customWidth="1"/>
    <col min="3" max="3" width="13.5703125" customWidth="1"/>
    <col min="4" max="4" width="15.42578125" customWidth="1"/>
    <col min="5" max="8" width="13.7109375" customWidth="1"/>
    <col min="9" max="9" width="11.7109375" customWidth="1"/>
    <col min="10" max="10" width="14.85546875" customWidth="1"/>
    <col min="11" max="11" width="16" customWidth="1"/>
    <col min="12" max="12" width="13.28515625" customWidth="1"/>
    <col min="13" max="14" width="10.5703125" bestFit="1" customWidth="1"/>
    <col min="15" max="15" width="10.5703125" style="177" customWidth="1"/>
    <col min="16" max="16" width="13.28515625" customWidth="1"/>
  </cols>
  <sheetData>
    <row r="1" spans="1:16" x14ac:dyDescent="0.25">
      <c r="A1" s="249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1"/>
    </row>
    <row r="2" spans="1:16" x14ac:dyDescent="0.25">
      <c r="A2" s="116">
        <v>46235</v>
      </c>
      <c r="B2" s="121" t="s">
        <v>1</v>
      </c>
      <c r="C2" s="121"/>
      <c r="D2" s="121"/>
      <c r="E2" s="114"/>
      <c r="F2" s="114"/>
      <c r="G2" s="121"/>
      <c r="H2" s="121"/>
      <c r="I2" s="157"/>
      <c r="J2" s="121"/>
      <c r="K2" s="121"/>
      <c r="L2" s="150"/>
      <c r="M2" s="121"/>
      <c r="N2" s="122"/>
      <c r="O2" s="170"/>
      <c r="P2" s="162"/>
    </row>
    <row r="3" spans="1:16" x14ac:dyDescent="0.25">
      <c r="A3" s="2" t="s">
        <v>2</v>
      </c>
      <c r="B3" s="2"/>
      <c r="C3" s="2"/>
      <c r="D3" s="2"/>
      <c r="E3" s="144"/>
      <c r="F3" s="144"/>
      <c r="G3" s="132"/>
      <c r="H3" s="132"/>
      <c r="I3" s="158"/>
      <c r="J3" s="114"/>
      <c r="K3" s="114" t="s">
        <v>256</v>
      </c>
      <c r="L3" s="151"/>
      <c r="M3" s="234" t="s">
        <v>3</v>
      </c>
      <c r="N3" s="235"/>
      <c r="O3" s="236"/>
      <c r="P3" s="260" t="s">
        <v>4</v>
      </c>
    </row>
    <row r="4" spans="1:16" x14ac:dyDescent="0.25">
      <c r="A4" s="2" t="s">
        <v>5</v>
      </c>
      <c r="B4" s="2" t="s">
        <v>6</v>
      </c>
      <c r="C4" s="2" t="s">
        <v>7</v>
      </c>
      <c r="D4" s="2" t="s">
        <v>8</v>
      </c>
      <c r="E4" s="74" t="s">
        <v>322</v>
      </c>
      <c r="F4" s="74" t="s">
        <v>323</v>
      </c>
      <c r="G4" s="2" t="s">
        <v>324</v>
      </c>
      <c r="H4" s="2" t="s">
        <v>325</v>
      </c>
      <c r="I4" s="159" t="s">
        <v>9</v>
      </c>
      <c r="J4" s="8" t="s">
        <v>10</v>
      </c>
      <c r="K4" s="8" t="s">
        <v>270</v>
      </c>
      <c r="L4" s="152" t="s">
        <v>12</v>
      </c>
      <c r="M4" s="10" t="s">
        <v>13</v>
      </c>
      <c r="N4" s="123" t="s">
        <v>255</v>
      </c>
      <c r="O4" s="171" t="s">
        <v>327</v>
      </c>
      <c r="P4" s="260"/>
    </row>
    <row r="5" spans="1:16" x14ac:dyDescent="0.25">
      <c r="A5" s="120" t="s">
        <v>14</v>
      </c>
      <c r="B5" s="12" t="s">
        <v>15</v>
      </c>
      <c r="C5" s="12" t="s">
        <v>16</v>
      </c>
      <c r="D5" s="13">
        <v>2050766384</v>
      </c>
      <c r="E5" s="14">
        <v>1000</v>
      </c>
      <c r="F5" s="14">
        <v>1000</v>
      </c>
      <c r="G5" s="14">
        <v>1000</v>
      </c>
      <c r="H5" s="14">
        <v>1000</v>
      </c>
      <c r="I5" s="160">
        <f>SUM(E5:H5)</f>
        <v>4000</v>
      </c>
      <c r="J5" s="14">
        <v>28000</v>
      </c>
      <c r="K5" s="14">
        <v>1800</v>
      </c>
      <c r="L5" s="152">
        <f>I5+J5+K5</f>
        <v>33800</v>
      </c>
      <c r="M5" s="17">
        <f>695+5000</f>
        <v>5695</v>
      </c>
      <c r="N5" s="124">
        <v>1030</v>
      </c>
      <c r="O5" s="172">
        <v>200</v>
      </c>
      <c r="P5" s="163">
        <f>L5-M5-N5-O5</f>
        <v>26875</v>
      </c>
    </row>
    <row r="6" spans="1:16" s="199" customFormat="1" x14ac:dyDescent="0.25">
      <c r="A6" s="190" t="s">
        <v>17</v>
      </c>
      <c r="B6" s="191" t="s">
        <v>18</v>
      </c>
      <c r="C6" s="191" t="s">
        <v>19</v>
      </c>
      <c r="D6" s="192" t="s">
        <v>20</v>
      </c>
      <c r="E6" s="193"/>
      <c r="F6" s="193">
        <v>1000</v>
      </c>
      <c r="G6" s="193">
        <v>1000</v>
      </c>
      <c r="H6" s="193">
        <f>1000+1000</f>
        <v>2000</v>
      </c>
      <c r="I6" s="193">
        <f t="shared" ref="I6:I56" si="0">SUM(E6:H6)</f>
        <v>4000</v>
      </c>
      <c r="J6" s="193">
        <v>25000</v>
      </c>
      <c r="K6" s="193"/>
      <c r="L6" s="194">
        <f t="shared" ref="L6:L56" si="1">I6+J6+K6</f>
        <v>29000</v>
      </c>
      <c r="M6" s="195">
        <v>500</v>
      </c>
      <c r="N6" s="196">
        <v>550</v>
      </c>
      <c r="O6" s="197">
        <v>200</v>
      </c>
      <c r="P6" s="198">
        <f t="shared" ref="P6:P56" si="2">L6-M6-N6-O6</f>
        <v>27750</v>
      </c>
    </row>
    <row r="7" spans="1:16" x14ac:dyDescent="0.25">
      <c r="A7" s="133" t="s">
        <v>21</v>
      </c>
      <c r="B7" s="12" t="s">
        <v>22</v>
      </c>
      <c r="C7" s="12" t="s">
        <v>23</v>
      </c>
      <c r="D7" s="13" t="s">
        <v>24</v>
      </c>
      <c r="E7" s="131">
        <f>1000</f>
        <v>1000</v>
      </c>
      <c r="F7" s="131">
        <v>1000</v>
      </c>
      <c r="G7" s="131"/>
      <c r="H7" s="131"/>
      <c r="I7" s="160">
        <f t="shared" si="0"/>
        <v>2000</v>
      </c>
      <c r="J7" s="131">
        <v>20000</v>
      </c>
      <c r="K7" s="131">
        <v>2400</v>
      </c>
      <c r="L7" s="152">
        <f t="shared" si="1"/>
        <v>24400</v>
      </c>
      <c r="M7" s="17"/>
      <c r="N7" s="124">
        <v>500</v>
      </c>
      <c r="O7" s="172">
        <v>200</v>
      </c>
      <c r="P7" s="163">
        <f t="shared" si="2"/>
        <v>23700</v>
      </c>
    </row>
    <row r="8" spans="1:16" x14ac:dyDescent="0.25">
      <c r="A8" s="11" t="s">
        <v>25</v>
      </c>
      <c r="B8" s="12" t="s">
        <v>26</v>
      </c>
      <c r="C8" s="12" t="s">
        <v>27</v>
      </c>
      <c r="D8" s="13" t="s">
        <v>28</v>
      </c>
      <c r="E8" s="14"/>
      <c r="F8" s="14">
        <v>500</v>
      </c>
      <c r="G8" s="14"/>
      <c r="H8" s="14"/>
      <c r="I8" s="160">
        <f t="shared" si="0"/>
        <v>500</v>
      </c>
      <c r="J8" s="14">
        <v>9000</v>
      </c>
      <c r="K8" s="14"/>
      <c r="L8" s="152">
        <f t="shared" si="1"/>
        <v>9500</v>
      </c>
      <c r="M8" s="19"/>
      <c r="N8" s="125"/>
      <c r="O8" s="172">
        <v>200</v>
      </c>
      <c r="P8" s="163">
        <f t="shared" si="2"/>
        <v>9300</v>
      </c>
    </row>
    <row r="9" spans="1:16" x14ac:dyDescent="0.25">
      <c r="A9" s="11" t="s">
        <v>29</v>
      </c>
      <c r="B9" s="12" t="s">
        <v>30</v>
      </c>
      <c r="C9" s="12" t="s">
        <v>27</v>
      </c>
      <c r="D9" s="13" t="s">
        <v>31</v>
      </c>
      <c r="E9" s="14"/>
      <c r="F9" s="14"/>
      <c r="G9" s="14"/>
      <c r="H9" s="14">
        <v>1000</v>
      </c>
      <c r="I9" s="160">
        <f t="shared" si="0"/>
        <v>1000</v>
      </c>
      <c r="J9" s="14">
        <v>30000</v>
      </c>
      <c r="K9" s="14">
        <f>13150+47500</f>
        <v>60650</v>
      </c>
      <c r="L9" s="152">
        <f t="shared" si="1"/>
        <v>91650</v>
      </c>
      <c r="M9" s="19">
        <v>3870</v>
      </c>
      <c r="N9" s="125"/>
      <c r="O9" s="172">
        <v>200</v>
      </c>
      <c r="P9" s="163">
        <f t="shared" si="2"/>
        <v>87580</v>
      </c>
    </row>
    <row r="10" spans="1:16" x14ac:dyDescent="0.25">
      <c r="A10" s="11" t="s">
        <v>32</v>
      </c>
      <c r="B10" s="20" t="s">
        <v>258</v>
      </c>
      <c r="C10" s="12" t="s">
        <v>34</v>
      </c>
      <c r="D10" s="13" t="s">
        <v>35</v>
      </c>
      <c r="E10" s="14"/>
      <c r="F10" s="14">
        <v>1000</v>
      </c>
      <c r="G10" s="14"/>
      <c r="H10" s="14">
        <v>500</v>
      </c>
      <c r="I10" s="160">
        <f t="shared" si="0"/>
        <v>1500</v>
      </c>
      <c r="J10" s="14">
        <v>20000</v>
      </c>
      <c r="K10" s="14">
        <v>3000</v>
      </c>
      <c r="L10" s="152">
        <f t="shared" si="1"/>
        <v>24500</v>
      </c>
      <c r="M10" s="19">
        <v>5000</v>
      </c>
      <c r="N10" s="125">
        <v>495</v>
      </c>
      <c r="O10" s="172">
        <v>200</v>
      </c>
      <c r="P10" s="163">
        <f t="shared" si="2"/>
        <v>18805</v>
      </c>
    </row>
    <row r="11" spans="1:16" x14ac:dyDescent="0.25">
      <c r="A11" s="11" t="s">
        <v>36</v>
      </c>
      <c r="B11" s="12" t="s">
        <v>37</v>
      </c>
      <c r="C11" s="12" t="s">
        <v>16</v>
      </c>
      <c r="D11" s="13" t="s">
        <v>38</v>
      </c>
      <c r="E11" s="14">
        <v>1000</v>
      </c>
      <c r="F11" s="14">
        <v>1000</v>
      </c>
      <c r="G11" s="14"/>
      <c r="H11" s="14">
        <f>1000+1000</f>
        <v>2000</v>
      </c>
      <c r="I11" s="160">
        <f t="shared" si="0"/>
        <v>4000</v>
      </c>
      <c r="J11" s="14">
        <v>50000</v>
      </c>
      <c r="K11" s="14">
        <v>3200</v>
      </c>
      <c r="L11" s="152">
        <f t="shared" si="1"/>
        <v>57200</v>
      </c>
      <c r="M11" s="19"/>
      <c r="N11" s="125">
        <v>500</v>
      </c>
      <c r="O11" s="172">
        <v>200</v>
      </c>
      <c r="P11" s="163">
        <f t="shared" si="2"/>
        <v>56500</v>
      </c>
    </row>
    <row r="12" spans="1:16" x14ac:dyDescent="0.25">
      <c r="A12" s="11" t="s">
        <v>39</v>
      </c>
      <c r="B12" s="20" t="s">
        <v>40</v>
      </c>
      <c r="C12" s="12" t="s">
        <v>34</v>
      </c>
      <c r="D12" s="13" t="s">
        <v>41</v>
      </c>
      <c r="E12" s="14">
        <f>1000+500</f>
        <v>1500</v>
      </c>
      <c r="F12" s="14">
        <v>1000</v>
      </c>
      <c r="G12" s="14">
        <f>500+500</f>
        <v>1000</v>
      </c>
      <c r="H12" s="14">
        <f>1000+500</f>
        <v>1500</v>
      </c>
      <c r="I12" s="160">
        <f t="shared" si="0"/>
        <v>5000</v>
      </c>
      <c r="J12" s="14">
        <v>20000</v>
      </c>
      <c r="K12" s="14">
        <v>3000</v>
      </c>
      <c r="L12" s="152">
        <f t="shared" si="1"/>
        <v>28000</v>
      </c>
      <c r="M12" s="19"/>
      <c r="N12" s="125">
        <v>300</v>
      </c>
      <c r="O12" s="172">
        <v>200</v>
      </c>
      <c r="P12" s="163">
        <f t="shared" si="2"/>
        <v>27500</v>
      </c>
    </row>
    <row r="13" spans="1:16" x14ac:dyDescent="0.25">
      <c r="A13" s="11" t="s">
        <v>42</v>
      </c>
      <c r="B13" s="12" t="s">
        <v>43</v>
      </c>
      <c r="C13" s="12" t="s">
        <v>34</v>
      </c>
      <c r="D13" s="13" t="s">
        <v>44</v>
      </c>
      <c r="E13" s="14"/>
      <c r="F13" s="14">
        <v>1000</v>
      </c>
      <c r="G13" s="14"/>
      <c r="H13" s="14"/>
      <c r="I13" s="160">
        <f t="shared" si="0"/>
        <v>1000</v>
      </c>
      <c r="J13" s="14">
        <v>30000</v>
      </c>
      <c r="K13" s="14">
        <v>4070</v>
      </c>
      <c r="L13" s="152">
        <f t="shared" si="1"/>
        <v>35070</v>
      </c>
      <c r="M13" s="19">
        <f>1920+800</f>
        <v>2720</v>
      </c>
      <c r="N13" s="125">
        <v>1030</v>
      </c>
      <c r="O13" s="172">
        <v>200</v>
      </c>
      <c r="P13" s="163">
        <f t="shared" si="2"/>
        <v>31120</v>
      </c>
    </row>
    <row r="14" spans="1:16" x14ac:dyDescent="0.25">
      <c r="A14" s="11" t="s">
        <v>45</v>
      </c>
      <c r="B14" s="12" t="s">
        <v>46</v>
      </c>
      <c r="C14" s="12" t="s">
        <v>19</v>
      </c>
      <c r="D14" s="13" t="s">
        <v>47</v>
      </c>
      <c r="E14" s="14">
        <f>1000+1000</f>
        <v>2000</v>
      </c>
      <c r="F14" s="14"/>
      <c r="G14" s="14">
        <f>1000+1000</f>
        <v>2000</v>
      </c>
      <c r="H14" s="14"/>
      <c r="I14" s="160">
        <f t="shared" si="0"/>
        <v>4000</v>
      </c>
      <c r="J14" s="14">
        <v>70000</v>
      </c>
      <c r="K14" s="14">
        <v>4600</v>
      </c>
      <c r="L14" s="152">
        <f t="shared" si="1"/>
        <v>78600</v>
      </c>
      <c r="M14" s="19">
        <v>450</v>
      </c>
      <c r="N14" s="125">
        <v>1030</v>
      </c>
      <c r="O14" s="172">
        <v>200</v>
      </c>
      <c r="P14" s="163">
        <f t="shared" si="2"/>
        <v>76920</v>
      </c>
    </row>
    <row r="15" spans="1:16" x14ac:dyDescent="0.25">
      <c r="A15" s="11" t="s">
        <v>48</v>
      </c>
      <c r="B15" s="12" t="s">
        <v>49</v>
      </c>
      <c r="C15" s="12" t="s">
        <v>34</v>
      </c>
      <c r="D15" s="13" t="s">
        <v>50</v>
      </c>
      <c r="E15" s="14">
        <f>3000+1000</f>
        <v>4000</v>
      </c>
      <c r="F15" s="14"/>
      <c r="G15" s="14">
        <f>1000+1000</f>
        <v>2000</v>
      </c>
      <c r="H15" s="14">
        <f>1000+1000</f>
        <v>2000</v>
      </c>
      <c r="I15" s="160">
        <f t="shared" si="0"/>
        <v>8000</v>
      </c>
      <c r="J15" s="14">
        <v>20000</v>
      </c>
      <c r="K15" s="14">
        <v>1800</v>
      </c>
      <c r="L15" s="152">
        <f t="shared" si="1"/>
        <v>29800</v>
      </c>
      <c r="M15" s="19"/>
      <c r="N15" s="125">
        <v>495</v>
      </c>
      <c r="O15" s="172">
        <v>200</v>
      </c>
      <c r="P15" s="163">
        <f t="shared" si="2"/>
        <v>29105</v>
      </c>
    </row>
    <row r="16" spans="1:16" x14ac:dyDescent="0.25">
      <c r="A16" s="11" t="s">
        <v>51</v>
      </c>
      <c r="B16" s="12" t="s">
        <v>52</v>
      </c>
      <c r="C16" s="12" t="s">
        <v>34</v>
      </c>
      <c r="D16" s="13" t="s">
        <v>53</v>
      </c>
      <c r="E16" s="14">
        <f>3000+1000+1000</f>
        <v>5000</v>
      </c>
      <c r="F16" s="14"/>
      <c r="G16" s="14">
        <f>1000+1000</f>
        <v>2000</v>
      </c>
      <c r="H16" s="14">
        <f>1000+1000</f>
        <v>2000</v>
      </c>
      <c r="I16" s="160">
        <f t="shared" si="0"/>
        <v>9000</v>
      </c>
      <c r="J16" s="14">
        <v>20000</v>
      </c>
      <c r="K16" s="14">
        <f>1200+2000</f>
        <v>3200</v>
      </c>
      <c r="L16" s="152">
        <f t="shared" si="1"/>
        <v>32200</v>
      </c>
      <c r="M16" s="19">
        <f>790+450</f>
        <v>1240</v>
      </c>
      <c r="N16" s="125">
        <v>600</v>
      </c>
      <c r="O16" s="172">
        <v>200</v>
      </c>
      <c r="P16" s="163">
        <f t="shared" si="2"/>
        <v>30160</v>
      </c>
    </row>
    <row r="17" spans="1:16" x14ac:dyDescent="0.25">
      <c r="A17" s="11" t="s">
        <v>54</v>
      </c>
      <c r="B17" s="12" t="s">
        <v>199</v>
      </c>
      <c r="C17" s="64" t="s">
        <v>19</v>
      </c>
      <c r="D17" s="13" t="s">
        <v>200</v>
      </c>
      <c r="E17" s="14">
        <f>500+500</f>
        <v>1000</v>
      </c>
      <c r="F17" s="14">
        <f>500</f>
        <v>500</v>
      </c>
      <c r="G17" s="14"/>
      <c r="H17" s="14">
        <f>500+1000+500</f>
        <v>2000</v>
      </c>
      <c r="I17" s="160">
        <f t="shared" si="0"/>
        <v>3500</v>
      </c>
      <c r="J17" s="14">
        <v>20000</v>
      </c>
      <c r="K17" s="14">
        <v>3100</v>
      </c>
      <c r="L17" s="152">
        <f t="shared" si="1"/>
        <v>26600</v>
      </c>
      <c r="M17" s="19">
        <v>550</v>
      </c>
      <c r="N17" s="125">
        <v>495</v>
      </c>
      <c r="O17" s="172">
        <v>200</v>
      </c>
      <c r="P17" s="163">
        <f t="shared" si="2"/>
        <v>25355</v>
      </c>
    </row>
    <row r="18" spans="1:16" x14ac:dyDescent="0.25">
      <c r="A18" s="11" t="s">
        <v>58</v>
      </c>
      <c r="B18" s="12" t="s">
        <v>59</v>
      </c>
      <c r="C18" s="12" t="s">
        <v>34</v>
      </c>
      <c r="D18" s="13" t="s">
        <v>60</v>
      </c>
      <c r="E18" s="14"/>
      <c r="F18" s="14"/>
      <c r="G18" s="14"/>
      <c r="H18" s="14"/>
      <c r="I18" s="160">
        <f t="shared" si="0"/>
        <v>0</v>
      </c>
      <c r="J18" s="14">
        <v>35000</v>
      </c>
      <c r="K18" s="14">
        <v>11000</v>
      </c>
      <c r="L18" s="152">
        <f t="shared" si="1"/>
        <v>46000</v>
      </c>
      <c r="M18" s="19"/>
      <c r="N18" s="125">
        <v>550</v>
      </c>
      <c r="O18" s="172">
        <v>200</v>
      </c>
      <c r="P18" s="163">
        <f t="shared" si="2"/>
        <v>45250</v>
      </c>
    </row>
    <row r="19" spans="1:16" x14ac:dyDescent="0.25">
      <c r="A19" s="133" t="s">
        <v>61</v>
      </c>
      <c r="B19" s="12" t="s">
        <v>62</v>
      </c>
      <c r="C19" s="13" t="s">
        <v>19</v>
      </c>
      <c r="D19" s="13" t="s">
        <v>63</v>
      </c>
      <c r="E19" s="131"/>
      <c r="F19" s="131"/>
      <c r="G19" s="131"/>
      <c r="H19" s="131"/>
      <c r="I19" s="160">
        <f t="shared" si="0"/>
        <v>0</v>
      </c>
      <c r="J19" s="131">
        <v>25000</v>
      </c>
      <c r="K19" s="131">
        <v>6250</v>
      </c>
      <c r="L19" s="152">
        <f t="shared" si="1"/>
        <v>31250</v>
      </c>
      <c r="M19" s="17"/>
      <c r="N19" s="124">
        <v>500</v>
      </c>
      <c r="O19" s="172">
        <v>200</v>
      </c>
      <c r="P19" s="163">
        <f t="shared" si="2"/>
        <v>30550</v>
      </c>
    </row>
    <row r="20" spans="1:16" x14ac:dyDescent="0.25">
      <c r="A20" s="11" t="s">
        <v>64</v>
      </c>
      <c r="B20" s="12" t="s">
        <v>65</v>
      </c>
      <c r="C20" s="12" t="s">
        <v>19</v>
      </c>
      <c r="D20" s="13" t="s">
        <v>66</v>
      </c>
      <c r="E20" s="14"/>
      <c r="F20" s="14"/>
      <c r="G20" s="14"/>
      <c r="H20" s="14"/>
      <c r="I20" s="160">
        <f t="shared" si="0"/>
        <v>0</v>
      </c>
      <c r="J20" s="14">
        <v>25000</v>
      </c>
      <c r="K20" s="14">
        <v>3000</v>
      </c>
      <c r="L20" s="152">
        <f t="shared" si="1"/>
        <v>28000</v>
      </c>
      <c r="M20" s="19"/>
      <c r="N20" s="125">
        <v>550</v>
      </c>
      <c r="O20" s="172">
        <v>200</v>
      </c>
      <c r="P20" s="163">
        <f t="shared" si="2"/>
        <v>27250</v>
      </c>
    </row>
    <row r="21" spans="1:16" x14ac:dyDescent="0.25">
      <c r="A21" s="11" t="s">
        <v>67</v>
      </c>
      <c r="B21" s="12" t="s">
        <v>68</v>
      </c>
      <c r="C21" s="12" t="s">
        <v>34</v>
      </c>
      <c r="D21" s="13" t="s">
        <v>69</v>
      </c>
      <c r="E21" s="14"/>
      <c r="F21" s="14"/>
      <c r="G21" s="14"/>
      <c r="H21" s="14"/>
      <c r="I21" s="160">
        <f t="shared" si="0"/>
        <v>0</v>
      </c>
      <c r="J21" s="14">
        <v>25000</v>
      </c>
      <c r="K21" s="14">
        <v>3500</v>
      </c>
      <c r="L21" s="152">
        <f t="shared" si="1"/>
        <v>28500</v>
      </c>
      <c r="M21" s="19"/>
      <c r="N21" s="125">
        <v>600</v>
      </c>
      <c r="O21" s="172">
        <v>200</v>
      </c>
      <c r="P21" s="163">
        <f t="shared" si="2"/>
        <v>27700</v>
      </c>
    </row>
    <row r="22" spans="1:16" x14ac:dyDescent="0.25">
      <c r="A22" s="11" t="s">
        <v>70</v>
      </c>
      <c r="B22" s="20" t="s">
        <v>71</v>
      </c>
      <c r="C22" s="12" t="s">
        <v>34</v>
      </c>
      <c r="D22" s="13" t="s">
        <v>72</v>
      </c>
      <c r="E22" s="14">
        <f>500</f>
        <v>500</v>
      </c>
      <c r="F22" s="14"/>
      <c r="G22" s="14"/>
      <c r="H22" s="14">
        <v>500</v>
      </c>
      <c r="I22" s="160">
        <f t="shared" si="0"/>
        <v>1000</v>
      </c>
      <c r="J22" s="14">
        <v>29000</v>
      </c>
      <c r="K22" s="14">
        <v>3000</v>
      </c>
      <c r="L22" s="152">
        <f t="shared" si="1"/>
        <v>33000</v>
      </c>
      <c r="M22" s="19"/>
      <c r="N22" s="125">
        <v>550</v>
      </c>
      <c r="O22" s="172">
        <v>200</v>
      </c>
      <c r="P22" s="163">
        <f t="shared" si="2"/>
        <v>32250</v>
      </c>
    </row>
    <row r="23" spans="1:16" x14ac:dyDescent="0.25">
      <c r="A23" s="11" t="s">
        <v>73</v>
      </c>
      <c r="B23" s="12" t="s">
        <v>74</v>
      </c>
      <c r="C23" s="12" t="s">
        <v>19</v>
      </c>
      <c r="D23" s="13" t="s">
        <v>75</v>
      </c>
      <c r="E23" s="14"/>
      <c r="F23" s="14"/>
      <c r="G23" s="14"/>
      <c r="H23" s="14"/>
      <c r="I23" s="160">
        <f t="shared" si="0"/>
        <v>0</v>
      </c>
      <c r="J23" s="14">
        <v>10000</v>
      </c>
      <c r="K23" s="14"/>
      <c r="L23" s="152">
        <f t="shared" si="1"/>
        <v>10000</v>
      </c>
      <c r="M23" s="19"/>
      <c r="N23" s="125">
        <v>300</v>
      </c>
      <c r="O23" s="172">
        <v>200</v>
      </c>
      <c r="P23" s="163">
        <f t="shared" si="2"/>
        <v>9500</v>
      </c>
    </row>
    <row r="24" spans="1:16" x14ac:dyDescent="0.25">
      <c r="A24" s="11" t="s">
        <v>76</v>
      </c>
      <c r="B24" s="12" t="s">
        <v>77</v>
      </c>
      <c r="C24" s="20" t="s">
        <v>269</v>
      </c>
      <c r="D24" s="13" t="s">
        <v>79</v>
      </c>
      <c r="E24" s="14"/>
      <c r="F24" s="14"/>
      <c r="G24" s="14"/>
      <c r="H24" s="14"/>
      <c r="I24" s="160">
        <f t="shared" si="0"/>
        <v>0</v>
      </c>
      <c r="J24" s="14">
        <v>50000</v>
      </c>
      <c r="K24" s="14">
        <v>7050</v>
      </c>
      <c r="L24" s="152">
        <f t="shared" si="1"/>
        <v>57050</v>
      </c>
      <c r="M24" s="19"/>
      <c r="N24" s="125">
        <v>1031.25</v>
      </c>
      <c r="O24" s="172">
        <v>200</v>
      </c>
      <c r="P24" s="163">
        <f t="shared" si="2"/>
        <v>55818.75</v>
      </c>
    </row>
    <row r="25" spans="1:16" x14ac:dyDescent="0.25">
      <c r="A25" s="11" t="s">
        <v>80</v>
      </c>
      <c r="B25" s="20" t="s">
        <v>81</v>
      </c>
      <c r="C25" s="12" t="s">
        <v>27</v>
      </c>
      <c r="D25" s="13" t="s">
        <v>82</v>
      </c>
      <c r="E25" s="14">
        <f>1000+1000+1000</f>
        <v>3000</v>
      </c>
      <c r="F25" s="14"/>
      <c r="G25" s="14"/>
      <c r="H25" s="14">
        <f>1000+1000</f>
        <v>2000</v>
      </c>
      <c r="I25" s="160">
        <f t="shared" si="0"/>
        <v>5000</v>
      </c>
      <c r="J25" s="14">
        <v>20000</v>
      </c>
      <c r="K25" s="14">
        <v>600</v>
      </c>
      <c r="L25" s="152">
        <f t="shared" si="1"/>
        <v>25600</v>
      </c>
      <c r="M25" s="19">
        <v>1500</v>
      </c>
      <c r="N25" s="125">
        <v>500</v>
      </c>
      <c r="O25" s="172">
        <v>200</v>
      </c>
      <c r="P25" s="163">
        <f t="shared" si="2"/>
        <v>23400</v>
      </c>
    </row>
    <row r="26" spans="1:16" x14ac:dyDescent="0.25">
      <c r="A26" s="11" t="s">
        <v>83</v>
      </c>
      <c r="B26" s="20" t="s">
        <v>84</v>
      </c>
      <c r="C26" s="12" t="s">
        <v>34</v>
      </c>
      <c r="D26" s="13" t="s">
        <v>85</v>
      </c>
      <c r="E26" s="14">
        <f>1000+1000+1000</f>
        <v>3000</v>
      </c>
      <c r="F26" s="14"/>
      <c r="G26" s="14">
        <f>1000+1000</f>
        <v>2000</v>
      </c>
      <c r="H26" s="14">
        <f>1000+1000</f>
        <v>2000</v>
      </c>
      <c r="I26" s="160">
        <f t="shared" si="0"/>
        <v>7000</v>
      </c>
      <c r="J26" s="14">
        <v>20000</v>
      </c>
      <c r="K26" s="14">
        <v>1200</v>
      </c>
      <c r="L26" s="152">
        <f t="shared" si="1"/>
        <v>28200</v>
      </c>
      <c r="M26" s="19"/>
      <c r="N26" s="125">
        <v>550</v>
      </c>
      <c r="O26" s="172">
        <v>200</v>
      </c>
      <c r="P26" s="163">
        <f t="shared" si="2"/>
        <v>27450</v>
      </c>
    </row>
    <row r="27" spans="1:16" x14ac:dyDescent="0.25">
      <c r="A27" s="11" t="s">
        <v>86</v>
      </c>
      <c r="B27" s="12" t="s">
        <v>87</v>
      </c>
      <c r="C27" s="12" t="s">
        <v>34</v>
      </c>
      <c r="D27" s="13" t="s">
        <v>88</v>
      </c>
      <c r="E27" s="14"/>
      <c r="F27" s="14"/>
      <c r="G27" s="14"/>
      <c r="H27" s="14"/>
      <c r="I27" s="160">
        <f t="shared" si="0"/>
        <v>0</v>
      </c>
      <c r="J27" s="14">
        <v>9000</v>
      </c>
      <c r="K27" s="14">
        <v>7000</v>
      </c>
      <c r="L27" s="152">
        <f t="shared" si="1"/>
        <v>16000</v>
      </c>
      <c r="M27" s="19"/>
      <c r="N27" s="125"/>
      <c r="O27" s="172">
        <v>200</v>
      </c>
      <c r="P27" s="163">
        <f t="shared" si="2"/>
        <v>15800</v>
      </c>
    </row>
    <row r="28" spans="1:16" x14ac:dyDescent="0.25">
      <c r="A28" s="133" t="s">
        <v>89</v>
      </c>
      <c r="B28" s="12" t="s">
        <v>297</v>
      </c>
      <c r="C28" s="12" t="s">
        <v>115</v>
      </c>
      <c r="D28" s="13" t="s">
        <v>301</v>
      </c>
      <c r="E28" s="131"/>
      <c r="F28" s="131"/>
      <c r="G28" s="131"/>
      <c r="H28" s="131"/>
      <c r="I28" s="160">
        <f t="shared" si="0"/>
        <v>0</v>
      </c>
      <c r="J28" s="131">
        <v>20000</v>
      </c>
      <c r="K28" s="131">
        <v>3000</v>
      </c>
      <c r="L28" s="152">
        <f t="shared" si="1"/>
        <v>23000</v>
      </c>
      <c r="M28" s="17"/>
      <c r="N28" s="124">
        <v>550</v>
      </c>
      <c r="O28" s="172"/>
      <c r="P28" s="163">
        <f t="shared" si="2"/>
        <v>22450</v>
      </c>
    </row>
    <row r="29" spans="1:16" s="199" customFormat="1" x14ac:dyDescent="0.25">
      <c r="A29" s="190" t="s">
        <v>92</v>
      </c>
      <c r="B29" s="191" t="s">
        <v>272</v>
      </c>
      <c r="C29" s="191" t="s">
        <v>19</v>
      </c>
      <c r="D29" s="192" t="s">
        <v>285</v>
      </c>
      <c r="E29" s="193">
        <v>1000</v>
      </c>
      <c r="F29" s="193">
        <f>1000+1000</f>
        <v>2000</v>
      </c>
      <c r="G29" s="193">
        <v>2000</v>
      </c>
      <c r="H29" s="193">
        <v>2000</v>
      </c>
      <c r="I29" s="193">
        <f t="shared" si="0"/>
        <v>7000</v>
      </c>
      <c r="J29" s="193">
        <v>25000</v>
      </c>
      <c r="K29" s="193">
        <v>2000</v>
      </c>
      <c r="L29" s="194">
        <f t="shared" si="1"/>
        <v>34000</v>
      </c>
      <c r="M29" s="195"/>
      <c r="N29" s="196">
        <v>500</v>
      </c>
      <c r="O29" s="197">
        <v>200</v>
      </c>
      <c r="P29" s="198">
        <f t="shared" si="2"/>
        <v>33300</v>
      </c>
    </row>
    <row r="30" spans="1:16" x14ac:dyDescent="0.25">
      <c r="A30" s="11" t="s">
        <v>98</v>
      </c>
      <c r="B30" s="12" t="s">
        <v>99</v>
      </c>
      <c r="C30" s="12" t="s">
        <v>19</v>
      </c>
      <c r="D30" s="13" t="s">
        <v>100</v>
      </c>
      <c r="E30" s="14">
        <v>500</v>
      </c>
      <c r="F30" s="14">
        <f>500+1000</f>
        <v>1500</v>
      </c>
      <c r="G30" s="14"/>
      <c r="H30" s="14">
        <f>500+500</f>
        <v>1000</v>
      </c>
      <c r="I30" s="160">
        <f t="shared" si="0"/>
        <v>3000</v>
      </c>
      <c r="J30" s="14">
        <v>20000</v>
      </c>
      <c r="K30" s="14">
        <v>3200</v>
      </c>
      <c r="L30" s="152">
        <f t="shared" si="1"/>
        <v>26200</v>
      </c>
      <c r="M30" s="19"/>
      <c r="N30" s="125">
        <v>495</v>
      </c>
      <c r="O30" s="172">
        <v>200</v>
      </c>
      <c r="P30" s="163">
        <f t="shared" si="2"/>
        <v>25505</v>
      </c>
    </row>
    <row r="31" spans="1:16" s="199" customFormat="1" x14ac:dyDescent="0.25">
      <c r="A31" s="190" t="s">
        <v>101</v>
      </c>
      <c r="B31" s="191" t="s">
        <v>232</v>
      </c>
      <c r="C31" s="191" t="s">
        <v>34</v>
      </c>
      <c r="D31" s="192" t="s">
        <v>103</v>
      </c>
      <c r="E31" s="193">
        <v>1000</v>
      </c>
      <c r="F31" s="193">
        <f>2000+1000</f>
        <v>3000</v>
      </c>
      <c r="G31" s="193">
        <v>2000</v>
      </c>
      <c r="H31" s="193">
        <v>3500</v>
      </c>
      <c r="I31" s="193">
        <f t="shared" si="0"/>
        <v>9500</v>
      </c>
      <c r="J31" s="193">
        <v>20000</v>
      </c>
      <c r="K31" s="193">
        <v>2300</v>
      </c>
      <c r="L31" s="194">
        <f t="shared" si="1"/>
        <v>31800</v>
      </c>
      <c r="M31" s="195"/>
      <c r="N31" s="196">
        <v>550</v>
      </c>
      <c r="O31" s="197">
        <v>200</v>
      </c>
      <c r="P31" s="198">
        <f t="shared" si="2"/>
        <v>31050</v>
      </c>
    </row>
    <row r="32" spans="1:16" x14ac:dyDescent="0.25">
      <c r="A32" s="11" t="s">
        <v>104</v>
      </c>
      <c r="B32" s="12" t="s">
        <v>105</v>
      </c>
      <c r="C32" s="12" t="s">
        <v>34</v>
      </c>
      <c r="D32" s="13" t="s">
        <v>106</v>
      </c>
      <c r="E32" s="14">
        <f>1000+1000</f>
        <v>2000</v>
      </c>
      <c r="F32" s="14"/>
      <c r="G32" s="14">
        <f>1000+1000+1000</f>
        <v>3000</v>
      </c>
      <c r="H32" s="14">
        <f>1000+1000</f>
        <v>2000</v>
      </c>
      <c r="I32" s="160">
        <f t="shared" si="0"/>
        <v>7000</v>
      </c>
      <c r="J32" s="14">
        <v>20000</v>
      </c>
      <c r="K32" s="14">
        <v>1000</v>
      </c>
      <c r="L32" s="152">
        <f t="shared" si="1"/>
        <v>28000</v>
      </c>
      <c r="M32" s="19">
        <v>1260</v>
      </c>
      <c r="N32" s="125">
        <v>500</v>
      </c>
      <c r="O32" s="172">
        <v>200</v>
      </c>
      <c r="P32" s="163">
        <f t="shared" si="2"/>
        <v>26040</v>
      </c>
    </row>
    <row r="33" spans="1:16" s="199" customFormat="1" x14ac:dyDescent="0.25">
      <c r="A33" s="190" t="s">
        <v>107</v>
      </c>
      <c r="B33" s="191" t="s">
        <v>108</v>
      </c>
      <c r="C33" s="191" t="s">
        <v>19</v>
      </c>
      <c r="D33" s="192" t="s">
        <v>216</v>
      </c>
      <c r="E33" s="193"/>
      <c r="F33" s="193"/>
      <c r="G33" s="193"/>
      <c r="H33" s="193"/>
      <c r="I33" s="193">
        <f t="shared" si="0"/>
        <v>0</v>
      </c>
      <c r="J33" s="193">
        <v>20000</v>
      </c>
      <c r="K33" s="193">
        <v>3000</v>
      </c>
      <c r="L33" s="194">
        <f t="shared" si="1"/>
        <v>23000</v>
      </c>
      <c r="M33" s="195"/>
      <c r="N33" s="196">
        <v>550</v>
      </c>
      <c r="O33" s="197">
        <v>200</v>
      </c>
      <c r="P33" s="198">
        <f t="shared" si="2"/>
        <v>22250</v>
      </c>
    </row>
    <row r="34" spans="1:16" x14ac:dyDescent="0.25">
      <c r="A34" s="11" t="s">
        <v>110</v>
      </c>
      <c r="B34" s="12" t="s">
        <v>111</v>
      </c>
      <c r="C34" s="12" t="s">
        <v>19</v>
      </c>
      <c r="D34" s="13" t="s">
        <v>112</v>
      </c>
      <c r="E34" s="14"/>
      <c r="F34" s="14"/>
      <c r="G34" s="14"/>
      <c r="H34" s="14"/>
      <c r="I34" s="160">
        <f t="shared" si="0"/>
        <v>0</v>
      </c>
      <c r="J34" s="14">
        <v>30000</v>
      </c>
      <c r="K34" s="14">
        <v>2000</v>
      </c>
      <c r="L34" s="152">
        <f t="shared" si="1"/>
        <v>32000</v>
      </c>
      <c r="M34" s="19">
        <f>1400+2000</f>
        <v>3400</v>
      </c>
      <c r="N34" s="125">
        <v>605</v>
      </c>
      <c r="O34" s="172"/>
      <c r="P34" s="163">
        <f t="shared" si="2"/>
        <v>27995</v>
      </c>
    </row>
    <row r="35" spans="1:16" x14ac:dyDescent="0.25">
      <c r="A35" s="11" t="s">
        <v>113</v>
      </c>
      <c r="B35" s="20" t="s">
        <v>114</v>
      </c>
      <c r="C35" s="12" t="s">
        <v>19</v>
      </c>
      <c r="D35" s="117" t="s">
        <v>308</v>
      </c>
      <c r="E35" s="105"/>
      <c r="F35" s="105">
        <v>1000</v>
      </c>
      <c r="G35" s="14"/>
      <c r="H35" s="14"/>
      <c r="I35" s="160">
        <f t="shared" si="0"/>
        <v>1000</v>
      </c>
      <c r="J35" s="14">
        <v>30000</v>
      </c>
      <c r="K35" s="14">
        <v>1200</v>
      </c>
      <c r="L35" s="152">
        <f t="shared" si="1"/>
        <v>32200</v>
      </c>
      <c r="M35" s="19">
        <v>1230</v>
      </c>
      <c r="N35" s="125">
        <v>1030</v>
      </c>
      <c r="O35" s="172">
        <v>200</v>
      </c>
      <c r="P35" s="163">
        <f t="shared" si="2"/>
        <v>29740</v>
      </c>
    </row>
    <row r="36" spans="1:16" s="199" customFormat="1" x14ac:dyDescent="0.25">
      <c r="A36" s="190" t="s">
        <v>117</v>
      </c>
      <c r="B36" s="200" t="s">
        <v>118</v>
      </c>
      <c r="C36" s="191" t="s">
        <v>19</v>
      </c>
      <c r="D36" s="201">
        <v>1347174311</v>
      </c>
      <c r="E36" s="202">
        <v>2000</v>
      </c>
      <c r="F36" s="202">
        <v>2000</v>
      </c>
      <c r="G36" s="193">
        <v>2000</v>
      </c>
      <c r="H36" s="193">
        <f>1500+1000+1000+500</f>
        <v>4000</v>
      </c>
      <c r="I36" s="193">
        <f t="shared" si="0"/>
        <v>10000</v>
      </c>
      <c r="J36" s="193">
        <v>25000</v>
      </c>
      <c r="K36" s="193">
        <v>1800</v>
      </c>
      <c r="L36" s="194">
        <f t="shared" si="1"/>
        <v>36800</v>
      </c>
      <c r="M36" s="195"/>
      <c r="N36" s="196">
        <v>550</v>
      </c>
      <c r="O36" s="197">
        <v>200</v>
      </c>
      <c r="P36" s="198">
        <f t="shared" si="2"/>
        <v>36050</v>
      </c>
    </row>
    <row r="37" spans="1:16" x14ac:dyDescent="0.25">
      <c r="A37" s="11" t="s">
        <v>119</v>
      </c>
      <c r="B37" s="20" t="s">
        <v>159</v>
      </c>
      <c r="C37" s="12" t="s">
        <v>34</v>
      </c>
      <c r="D37" s="118" t="s">
        <v>177</v>
      </c>
      <c r="E37" s="106"/>
      <c r="F37" s="106">
        <v>1000</v>
      </c>
      <c r="G37" s="14"/>
      <c r="H37" s="14"/>
      <c r="I37" s="160">
        <f t="shared" si="0"/>
        <v>1000</v>
      </c>
      <c r="J37" s="14">
        <v>20000</v>
      </c>
      <c r="K37" s="14">
        <v>1000</v>
      </c>
      <c r="L37" s="152">
        <f t="shared" si="1"/>
        <v>22000</v>
      </c>
      <c r="M37" s="19">
        <v>450</v>
      </c>
      <c r="N37" s="125">
        <v>500</v>
      </c>
      <c r="O37" s="172">
        <v>200</v>
      </c>
      <c r="P37" s="163">
        <f t="shared" si="2"/>
        <v>20850</v>
      </c>
    </row>
    <row r="38" spans="1:16" x14ac:dyDescent="0.25">
      <c r="A38" s="11" t="s">
        <v>120</v>
      </c>
      <c r="B38" s="20" t="s">
        <v>121</v>
      </c>
      <c r="C38" s="12" t="s">
        <v>23</v>
      </c>
      <c r="D38" s="118" t="s">
        <v>122</v>
      </c>
      <c r="E38" s="106">
        <v>500</v>
      </c>
      <c r="F38" s="106"/>
      <c r="G38" s="14"/>
      <c r="H38" s="14">
        <f>500</f>
        <v>500</v>
      </c>
      <c r="I38" s="160">
        <f t="shared" si="0"/>
        <v>1000</v>
      </c>
      <c r="J38" s="14">
        <v>25000</v>
      </c>
      <c r="K38" s="14">
        <v>3000</v>
      </c>
      <c r="L38" s="152">
        <f t="shared" si="1"/>
        <v>29000</v>
      </c>
      <c r="M38" s="19"/>
      <c r="N38" s="125">
        <v>550</v>
      </c>
      <c r="O38" s="172">
        <v>200</v>
      </c>
      <c r="P38" s="163">
        <f t="shared" si="2"/>
        <v>28250</v>
      </c>
    </row>
    <row r="39" spans="1:16" x14ac:dyDescent="0.25">
      <c r="A39" s="11" t="s">
        <v>123</v>
      </c>
      <c r="B39" s="20" t="s">
        <v>326</v>
      </c>
      <c r="C39" s="12" t="s">
        <v>34</v>
      </c>
      <c r="D39" s="118" t="s">
        <v>125</v>
      </c>
      <c r="E39" s="106">
        <f>1000+1000+1000</f>
        <v>3000</v>
      </c>
      <c r="F39" s="106">
        <v>1000</v>
      </c>
      <c r="G39" s="14">
        <f>1000+1000+1000</f>
        <v>3000</v>
      </c>
      <c r="H39" s="14">
        <f>1000+1000</f>
        <v>2000</v>
      </c>
      <c r="I39" s="160">
        <f t="shared" si="0"/>
        <v>9000</v>
      </c>
      <c r="J39" s="14">
        <v>20000</v>
      </c>
      <c r="K39" s="14">
        <v>1800</v>
      </c>
      <c r="L39" s="152">
        <f t="shared" si="1"/>
        <v>30800</v>
      </c>
      <c r="M39" s="19"/>
      <c r="N39" s="125">
        <v>550</v>
      </c>
      <c r="O39" s="172">
        <v>200</v>
      </c>
      <c r="P39" s="163">
        <f t="shared" si="2"/>
        <v>30050</v>
      </c>
    </row>
    <row r="40" spans="1:16" x14ac:dyDescent="0.25">
      <c r="A40" s="11" t="s">
        <v>126</v>
      </c>
      <c r="B40" s="12" t="s">
        <v>127</v>
      </c>
      <c r="C40" s="12" t="s">
        <v>27</v>
      </c>
      <c r="D40" s="118" t="s">
        <v>128</v>
      </c>
      <c r="E40" s="106">
        <f>1000</f>
        <v>1000</v>
      </c>
      <c r="F40" s="106">
        <v>1000</v>
      </c>
      <c r="G40" s="14">
        <v>1000</v>
      </c>
      <c r="H40" s="14">
        <f>500+1000+1000</f>
        <v>2500</v>
      </c>
      <c r="I40" s="160">
        <f t="shared" si="0"/>
        <v>5500</v>
      </c>
      <c r="J40" s="14">
        <v>20000</v>
      </c>
      <c r="K40" s="14">
        <v>3000</v>
      </c>
      <c r="L40" s="152">
        <f t="shared" si="1"/>
        <v>28500</v>
      </c>
      <c r="M40" s="19"/>
      <c r="N40" s="125">
        <v>500</v>
      </c>
      <c r="O40" s="172">
        <v>200</v>
      </c>
      <c r="P40" s="163">
        <f t="shared" si="2"/>
        <v>27800</v>
      </c>
    </row>
    <row r="41" spans="1:16" s="199" customFormat="1" x14ac:dyDescent="0.25">
      <c r="A41" s="190" t="s">
        <v>129</v>
      </c>
      <c r="B41" s="191" t="s">
        <v>175</v>
      </c>
      <c r="C41" s="191" t="s">
        <v>34</v>
      </c>
      <c r="D41" s="192" t="s">
        <v>161</v>
      </c>
      <c r="E41" s="193">
        <f>1000+1000</f>
        <v>2000</v>
      </c>
      <c r="F41" s="193">
        <f>1000+1000</f>
        <v>2000</v>
      </c>
      <c r="G41" s="193">
        <f>1000+1000+1000</f>
        <v>3000</v>
      </c>
      <c r="H41" s="193">
        <v>3000</v>
      </c>
      <c r="I41" s="193">
        <f t="shared" si="0"/>
        <v>10000</v>
      </c>
      <c r="J41" s="193">
        <v>35000</v>
      </c>
      <c r="K41" s="193">
        <v>2800</v>
      </c>
      <c r="L41" s="194">
        <f t="shared" si="1"/>
        <v>47800</v>
      </c>
      <c r="M41" s="195">
        <v>2610</v>
      </c>
      <c r="N41" s="196">
        <v>550</v>
      </c>
      <c r="O41" s="197">
        <v>200</v>
      </c>
      <c r="P41" s="198">
        <f t="shared" si="2"/>
        <v>44440</v>
      </c>
    </row>
    <row r="42" spans="1:16" x14ac:dyDescent="0.25">
      <c r="A42" s="11" t="s">
        <v>132</v>
      </c>
      <c r="B42" s="12" t="s">
        <v>176</v>
      </c>
      <c r="C42" s="12" t="s">
        <v>34</v>
      </c>
      <c r="D42" s="13" t="s">
        <v>163</v>
      </c>
      <c r="E42" s="14"/>
      <c r="F42" s="14"/>
      <c r="G42" s="14"/>
      <c r="H42" s="14">
        <v>500</v>
      </c>
      <c r="I42" s="160">
        <f t="shared" si="0"/>
        <v>500</v>
      </c>
      <c r="J42" s="14">
        <v>20000</v>
      </c>
      <c r="K42" s="14">
        <v>3000</v>
      </c>
      <c r="L42" s="152">
        <f t="shared" si="1"/>
        <v>23500</v>
      </c>
      <c r="M42" s="19"/>
      <c r="N42" s="125">
        <v>500</v>
      </c>
      <c r="O42" s="172">
        <v>200</v>
      </c>
      <c r="P42" s="163">
        <f t="shared" si="2"/>
        <v>22800</v>
      </c>
    </row>
    <row r="43" spans="1:16" s="199" customFormat="1" x14ac:dyDescent="0.25">
      <c r="A43" s="190" t="s">
        <v>160</v>
      </c>
      <c r="B43" s="191" t="s">
        <v>228</v>
      </c>
      <c r="C43" s="191" t="s">
        <v>34</v>
      </c>
      <c r="D43" s="192" t="s">
        <v>183</v>
      </c>
      <c r="E43" s="193">
        <v>2000</v>
      </c>
      <c r="F43" s="193">
        <v>2000</v>
      </c>
      <c r="G43" s="193">
        <v>1000</v>
      </c>
      <c r="H43" s="193">
        <v>3000</v>
      </c>
      <c r="I43" s="193">
        <f t="shared" si="0"/>
        <v>8000</v>
      </c>
      <c r="J43" s="193">
        <v>25000</v>
      </c>
      <c r="K43" s="193">
        <v>1800</v>
      </c>
      <c r="L43" s="194">
        <f t="shared" si="1"/>
        <v>34800</v>
      </c>
      <c r="M43" s="195">
        <v>3000</v>
      </c>
      <c r="N43" s="196">
        <v>550</v>
      </c>
      <c r="O43" s="197">
        <v>200</v>
      </c>
      <c r="P43" s="198">
        <f t="shared" si="2"/>
        <v>31050</v>
      </c>
    </row>
    <row r="44" spans="1:16" s="199" customFormat="1" x14ac:dyDescent="0.25">
      <c r="A44" s="190" t="s">
        <v>162</v>
      </c>
      <c r="B44" s="191" t="s">
        <v>221</v>
      </c>
      <c r="C44" s="191" t="s">
        <v>34</v>
      </c>
      <c r="D44" s="192" t="s">
        <v>222</v>
      </c>
      <c r="E44" s="193"/>
      <c r="F44" s="193"/>
      <c r="G44" s="193">
        <v>1000</v>
      </c>
      <c r="H44" s="193">
        <f>1000+1000</f>
        <v>2000</v>
      </c>
      <c r="I44" s="193">
        <f t="shared" si="0"/>
        <v>3000</v>
      </c>
      <c r="J44" s="193">
        <v>20000</v>
      </c>
      <c r="K44" s="193">
        <v>4300</v>
      </c>
      <c r="L44" s="194">
        <f t="shared" si="1"/>
        <v>27300</v>
      </c>
      <c r="M44" s="195"/>
      <c r="N44" s="196">
        <v>495</v>
      </c>
      <c r="O44" s="197">
        <v>200</v>
      </c>
      <c r="P44" s="198">
        <f t="shared" si="2"/>
        <v>26605</v>
      </c>
    </row>
    <row r="45" spans="1:16" x14ac:dyDescent="0.25">
      <c r="A45" s="11" t="s">
        <v>181</v>
      </c>
      <c r="B45" s="12" t="s">
        <v>225</v>
      </c>
      <c r="C45" s="12" t="s">
        <v>168</v>
      </c>
      <c r="D45" s="13" t="s">
        <v>296</v>
      </c>
      <c r="E45" s="14">
        <f>1000+1000</f>
        <v>2000</v>
      </c>
      <c r="F45" s="14"/>
      <c r="G45" s="14"/>
      <c r="H45" s="14">
        <f>1000+1000</f>
        <v>2000</v>
      </c>
      <c r="I45" s="160">
        <f t="shared" si="0"/>
        <v>4000</v>
      </c>
      <c r="J45" s="14">
        <v>25000</v>
      </c>
      <c r="K45" s="14">
        <v>800</v>
      </c>
      <c r="L45" s="152">
        <f t="shared" si="1"/>
        <v>29800</v>
      </c>
      <c r="M45" s="19">
        <v>360</v>
      </c>
      <c r="N45" s="125">
        <v>1500</v>
      </c>
      <c r="O45" s="172">
        <v>200</v>
      </c>
      <c r="P45" s="163">
        <f t="shared" si="2"/>
        <v>27740</v>
      </c>
    </row>
    <row r="46" spans="1:16" x14ac:dyDescent="0.25">
      <c r="A46" s="102">
        <v>43</v>
      </c>
      <c r="B46" s="12" t="s">
        <v>257</v>
      </c>
      <c r="C46" s="12" t="s">
        <v>34</v>
      </c>
      <c r="D46" s="13" t="s">
        <v>149</v>
      </c>
      <c r="E46" s="131"/>
      <c r="F46" s="131"/>
      <c r="G46" s="131"/>
      <c r="H46" s="131"/>
      <c r="I46" s="160">
        <f t="shared" si="0"/>
        <v>0</v>
      </c>
      <c r="J46" s="131">
        <v>25000</v>
      </c>
      <c r="K46" s="131">
        <v>1500</v>
      </c>
      <c r="L46" s="152">
        <f t="shared" si="1"/>
        <v>26500</v>
      </c>
      <c r="M46" s="17"/>
      <c r="N46" s="124">
        <v>550</v>
      </c>
      <c r="O46" s="172">
        <v>200</v>
      </c>
      <c r="P46" s="163">
        <f t="shared" si="2"/>
        <v>25750</v>
      </c>
    </row>
    <row r="47" spans="1:16" s="199" customFormat="1" x14ac:dyDescent="0.25">
      <c r="A47" s="203">
        <v>44</v>
      </c>
      <c r="B47" s="191" t="s">
        <v>275</v>
      </c>
      <c r="C47" s="191" t="s">
        <v>23</v>
      </c>
      <c r="D47" s="192" t="s">
        <v>277</v>
      </c>
      <c r="E47" s="193"/>
      <c r="F47" s="193">
        <v>1000</v>
      </c>
      <c r="G47" s="193">
        <v>1000</v>
      </c>
      <c r="H47" s="193">
        <f>1000+1000</f>
        <v>2000</v>
      </c>
      <c r="I47" s="193">
        <f t="shared" si="0"/>
        <v>4000</v>
      </c>
      <c r="J47" s="193">
        <v>20000</v>
      </c>
      <c r="K47" s="193">
        <v>1800</v>
      </c>
      <c r="L47" s="194">
        <f t="shared" si="1"/>
        <v>25800</v>
      </c>
      <c r="M47" s="195"/>
      <c r="N47" s="196">
        <v>500</v>
      </c>
      <c r="O47" s="197">
        <v>200</v>
      </c>
      <c r="P47" s="198">
        <f t="shared" si="2"/>
        <v>25100</v>
      </c>
    </row>
    <row r="48" spans="1:16" x14ac:dyDescent="0.25">
      <c r="A48" s="133">
        <v>45</v>
      </c>
      <c r="B48" s="12" t="s">
        <v>286</v>
      </c>
      <c r="C48" s="12" t="s">
        <v>56</v>
      </c>
      <c r="D48" s="13" t="s">
        <v>282</v>
      </c>
      <c r="E48" s="131">
        <f>1000</f>
        <v>1000</v>
      </c>
      <c r="F48" s="131"/>
      <c r="G48" s="131"/>
      <c r="H48" s="131"/>
      <c r="I48" s="160">
        <f t="shared" si="0"/>
        <v>1000</v>
      </c>
      <c r="J48" s="131">
        <v>20000</v>
      </c>
      <c r="K48" s="131">
        <v>2000</v>
      </c>
      <c r="L48" s="152">
        <f t="shared" si="1"/>
        <v>23000</v>
      </c>
      <c r="M48" s="17">
        <v>3250</v>
      </c>
      <c r="N48" s="124">
        <v>500</v>
      </c>
      <c r="O48" s="172">
        <v>200</v>
      </c>
      <c r="P48" s="163">
        <f t="shared" si="2"/>
        <v>19050</v>
      </c>
    </row>
    <row r="49" spans="1:16" x14ac:dyDescent="0.25">
      <c r="A49" s="133">
        <v>46</v>
      </c>
      <c r="B49" s="12" t="s">
        <v>280</v>
      </c>
      <c r="C49" s="12" t="s">
        <v>27</v>
      </c>
      <c r="D49" s="13" t="s">
        <v>281</v>
      </c>
      <c r="E49" s="131">
        <v>1000</v>
      </c>
      <c r="F49" s="131"/>
      <c r="G49" s="131"/>
      <c r="H49" s="131"/>
      <c r="I49" s="160">
        <f t="shared" si="0"/>
        <v>1000</v>
      </c>
      <c r="J49" s="131">
        <v>20000</v>
      </c>
      <c r="K49" s="131">
        <v>2000</v>
      </c>
      <c r="L49" s="152">
        <f t="shared" si="1"/>
        <v>23000</v>
      </c>
      <c r="M49" s="17">
        <v>3250</v>
      </c>
      <c r="N49" s="124">
        <v>500</v>
      </c>
      <c r="O49" s="172">
        <v>200</v>
      </c>
      <c r="P49" s="163">
        <f t="shared" si="2"/>
        <v>19050</v>
      </c>
    </row>
    <row r="50" spans="1:16" x14ac:dyDescent="0.25">
      <c r="A50" s="133">
        <v>47</v>
      </c>
      <c r="B50" s="12" t="s">
        <v>298</v>
      </c>
      <c r="C50" s="12" t="s">
        <v>27</v>
      </c>
      <c r="D50" s="13" t="s">
        <v>302</v>
      </c>
      <c r="E50" s="131"/>
      <c r="F50" s="131"/>
      <c r="G50" s="131"/>
      <c r="H50" s="131"/>
      <c r="I50" s="160">
        <f t="shared" si="0"/>
        <v>0</v>
      </c>
      <c r="J50" s="131">
        <v>20000</v>
      </c>
      <c r="K50" s="131">
        <v>3000</v>
      </c>
      <c r="L50" s="152">
        <f t="shared" si="1"/>
        <v>23000</v>
      </c>
      <c r="M50" s="17"/>
      <c r="N50" s="124">
        <v>500</v>
      </c>
      <c r="O50" s="172">
        <v>200</v>
      </c>
      <c r="P50" s="163">
        <f t="shared" si="2"/>
        <v>22300</v>
      </c>
    </row>
    <row r="51" spans="1:16" x14ac:dyDescent="0.25">
      <c r="A51" s="133">
        <v>48</v>
      </c>
      <c r="B51" s="12" t="s">
        <v>299</v>
      </c>
      <c r="C51" s="12" t="s">
        <v>56</v>
      </c>
      <c r="D51" s="13" t="s">
        <v>300</v>
      </c>
      <c r="E51" s="131">
        <f>1000+1000+1000</f>
        <v>3000</v>
      </c>
      <c r="F51" s="131">
        <v>1000</v>
      </c>
      <c r="G51" s="131">
        <f>1000+1000+1000</f>
        <v>3000</v>
      </c>
      <c r="H51" s="131">
        <f>1000+1000</f>
        <v>2000</v>
      </c>
      <c r="I51" s="160">
        <f t="shared" si="0"/>
        <v>9000</v>
      </c>
      <c r="J51" s="131">
        <v>20000</v>
      </c>
      <c r="K51" s="131">
        <v>1200</v>
      </c>
      <c r="L51" s="152">
        <f t="shared" si="1"/>
        <v>30200</v>
      </c>
      <c r="M51" s="17"/>
      <c r="N51" s="124">
        <v>500</v>
      </c>
      <c r="O51" s="172">
        <v>200</v>
      </c>
      <c r="P51" s="163">
        <f t="shared" si="2"/>
        <v>29500</v>
      </c>
    </row>
    <row r="52" spans="1:16" x14ac:dyDescent="0.25">
      <c r="A52" s="133" t="s">
        <v>313</v>
      </c>
      <c r="B52" s="12" t="s">
        <v>328</v>
      </c>
      <c r="C52" s="20" t="s">
        <v>19</v>
      </c>
      <c r="D52" s="178" t="s">
        <v>329</v>
      </c>
      <c r="E52" s="131"/>
      <c r="F52" s="131"/>
      <c r="G52" s="131"/>
      <c r="H52" s="131"/>
      <c r="I52" s="160">
        <f t="shared" si="0"/>
        <v>0</v>
      </c>
      <c r="J52" s="131">
        <v>10000</v>
      </c>
      <c r="K52" s="131">
        <v>5000</v>
      </c>
      <c r="L52" s="152">
        <f t="shared" si="1"/>
        <v>15000</v>
      </c>
      <c r="M52" s="17"/>
      <c r="N52" s="124">
        <v>550</v>
      </c>
      <c r="O52" s="172">
        <v>200</v>
      </c>
      <c r="P52" s="163">
        <f t="shared" si="2"/>
        <v>14250</v>
      </c>
    </row>
    <row r="53" spans="1:16" x14ac:dyDescent="0.25">
      <c r="A53" s="133" t="s">
        <v>314</v>
      </c>
      <c r="B53" s="12" t="s">
        <v>316</v>
      </c>
      <c r="C53" s="12" t="s">
        <v>317</v>
      </c>
      <c r="D53" s="13" t="s">
        <v>318</v>
      </c>
      <c r="E53" s="131"/>
      <c r="F53" s="131"/>
      <c r="G53" s="131"/>
      <c r="H53" s="131">
        <v>1000</v>
      </c>
      <c r="I53" s="160">
        <f t="shared" si="0"/>
        <v>1000</v>
      </c>
      <c r="J53" s="131">
        <v>3250</v>
      </c>
      <c r="K53" s="131">
        <v>900</v>
      </c>
      <c r="L53" s="152">
        <f t="shared" si="1"/>
        <v>5150</v>
      </c>
      <c r="M53" s="17"/>
      <c r="N53" s="124">
        <v>550</v>
      </c>
      <c r="O53" s="172">
        <v>200</v>
      </c>
      <c r="P53" s="163">
        <f t="shared" si="2"/>
        <v>4400</v>
      </c>
    </row>
    <row r="54" spans="1:16" x14ac:dyDescent="0.25">
      <c r="A54" s="133" t="s">
        <v>319</v>
      </c>
      <c r="B54" s="12" t="s">
        <v>320</v>
      </c>
      <c r="C54" s="12" t="s">
        <v>19</v>
      </c>
      <c r="D54" s="13" t="s">
        <v>321</v>
      </c>
      <c r="E54" s="131"/>
      <c r="F54" s="131"/>
      <c r="G54" s="131"/>
      <c r="H54" s="131"/>
      <c r="I54" s="160">
        <f t="shared" si="0"/>
        <v>0</v>
      </c>
      <c r="J54" s="131">
        <v>5200</v>
      </c>
      <c r="K54" s="131">
        <v>1200</v>
      </c>
      <c r="L54" s="152">
        <f t="shared" si="1"/>
        <v>6400</v>
      </c>
      <c r="M54" s="17"/>
      <c r="N54" s="124">
        <v>550</v>
      </c>
      <c r="O54" s="172">
        <v>200</v>
      </c>
      <c r="P54" s="163">
        <f t="shared" si="2"/>
        <v>5650</v>
      </c>
    </row>
    <row r="55" spans="1:16" x14ac:dyDescent="0.25">
      <c r="A55" s="11" t="s">
        <v>313</v>
      </c>
      <c r="B55" s="12" t="s">
        <v>130</v>
      </c>
      <c r="C55" s="12"/>
      <c r="D55" s="13"/>
      <c r="E55" s="14"/>
      <c r="F55" s="14"/>
      <c r="G55" s="14"/>
      <c r="H55" s="14"/>
      <c r="I55" s="160">
        <f t="shared" si="0"/>
        <v>0</v>
      </c>
      <c r="J55" s="14">
        <v>100000</v>
      </c>
      <c r="K55" s="14"/>
      <c r="L55" s="152">
        <f t="shared" si="1"/>
        <v>100000</v>
      </c>
      <c r="M55" s="19"/>
      <c r="N55" s="125">
        <v>1375</v>
      </c>
      <c r="O55" s="172">
        <v>200</v>
      </c>
      <c r="P55" s="163">
        <f t="shared" si="2"/>
        <v>98425</v>
      </c>
    </row>
    <row r="56" spans="1:16" x14ac:dyDescent="0.25">
      <c r="A56" s="11" t="s">
        <v>314</v>
      </c>
      <c r="B56" s="12" t="s">
        <v>133</v>
      </c>
      <c r="C56" s="12"/>
      <c r="D56" s="53"/>
      <c r="E56" s="8"/>
      <c r="F56" s="8"/>
      <c r="G56" s="14"/>
      <c r="H56" s="14"/>
      <c r="I56" s="160">
        <f t="shared" si="0"/>
        <v>0</v>
      </c>
      <c r="J56" s="14">
        <v>150000</v>
      </c>
      <c r="K56" s="14"/>
      <c r="L56" s="152">
        <f t="shared" si="1"/>
        <v>150000</v>
      </c>
      <c r="M56" s="19"/>
      <c r="N56" s="125">
        <v>2000</v>
      </c>
      <c r="O56" s="172">
        <v>200</v>
      </c>
      <c r="P56" s="163">
        <f t="shared" si="2"/>
        <v>147800</v>
      </c>
    </row>
    <row r="57" spans="1:16" x14ac:dyDescent="0.25">
      <c r="A57" s="99"/>
      <c r="B57" s="2"/>
      <c r="C57" s="2"/>
      <c r="D57" s="53" t="s">
        <v>224</v>
      </c>
      <c r="E57" s="100">
        <f t="shared" ref="E57:H57" si="3">SUM(E5:E56)</f>
        <v>45000</v>
      </c>
      <c r="F57" s="100">
        <f t="shared" si="3"/>
        <v>26500</v>
      </c>
      <c r="G57" s="100">
        <f t="shared" si="3"/>
        <v>33000</v>
      </c>
      <c r="H57" s="100">
        <f t="shared" si="3"/>
        <v>51500</v>
      </c>
      <c r="I57" s="159">
        <f t="shared" ref="I57:P57" si="4">SUM(I5:I56)</f>
        <v>156000</v>
      </c>
      <c r="J57" s="100">
        <f t="shared" si="4"/>
        <v>1423450</v>
      </c>
      <c r="K57" s="100">
        <f t="shared" si="4"/>
        <v>193020</v>
      </c>
      <c r="L57" s="152">
        <f t="shared" si="4"/>
        <v>1772470</v>
      </c>
      <c r="M57" s="111">
        <f t="shared" si="4"/>
        <v>40335</v>
      </c>
      <c r="N57" s="126">
        <f t="shared" si="4"/>
        <v>31256.25</v>
      </c>
      <c r="O57" s="174">
        <f t="shared" si="4"/>
        <v>10000</v>
      </c>
      <c r="P57" s="165">
        <f t="shared" si="4"/>
        <v>1690878.75</v>
      </c>
    </row>
    <row r="58" spans="1:16" x14ac:dyDescent="0.25">
      <c r="A58" s="11"/>
      <c r="B58" s="12"/>
      <c r="C58" s="12"/>
      <c r="D58" s="13"/>
      <c r="E58" s="14"/>
      <c r="F58" s="14"/>
      <c r="G58" s="14"/>
      <c r="H58" s="14"/>
      <c r="I58" s="160"/>
      <c r="J58" s="14"/>
      <c r="K58" s="14"/>
      <c r="L58" s="152"/>
      <c r="M58" s="19"/>
      <c r="N58" s="125"/>
      <c r="O58" s="173"/>
      <c r="P58" s="163"/>
    </row>
    <row r="59" spans="1:16" x14ac:dyDescent="0.25">
      <c r="A59" s="2" t="s">
        <v>135</v>
      </c>
      <c r="B59" s="2"/>
      <c r="C59" s="2"/>
      <c r="D59" s="2"/>
      <c r="E59" s="8"/>
      <c r="F59" s="8"/>
      <c r="G59" s="14"/>
      <c r="H59" s="14"/>
      <c r="I59" s="160"/>
      <c r="J59" s="14"/>
      <c r="K59" s="14"/>
      <c r="L59" s="152"/>
      <c r="M59" s="34"/>
      <c r="N59" s="127"/>
      <c r="O59" s="175"/>
      <c r="P59" s="166"/>
    </row>
    <row r="60" spans="1:16" x14ac:dyDescent="0.25">
      <c r="A60" s="20">
        <v>1</v>
      </c>
      <c r="B60" s="12" t="s">
        <v>274</v>
      </c>
      <c r="C60" s="12" t="s">
        <v>23</v>
      </c>
      <c r="D60" s="13" t="s">
        <v>137</v>
      </c>
      <c r="E60" s="14"/>
      <c r="F60" s="14"/>
      <c r="G60" s="14"/>
      <c r="H60" s="14"/>
      <c r="I60" s="160">
        <f t="shared" ref="I60:I65" si="5">SUM(G60:G60)</f>
        <v>0</v>
      </c>
      <c r="J60" s="14">
        <v>40000</v>
      </c>
      <c r="K60" s="14"/>
      <c r="L60" s="152">
        <f>I60+J60+K60</f>
        <v>40000</v>
      </c>
      <c r="M60" s="19"/>
      <c r="N60" s="125">
        <v>550</v>
      </c>
      <c r="O60" s="173">
        <v>200</v>
      </c>
      <c r="P60" s="163">
        <f>L60-M60-N60-O60</f>
        <v>39250</v>
      </c>
    </row>
    <row r="61" spans="1:16" x14ac:dyDescent="0.25">
      <c r="A61" s="20">
        <v>2</v>
      </c>
      <c r="B61" s="12" t="s">
        <v>273</v>
      </c>
      <c r="C61" s="12" t="s">
        <v>16</v>
      </c>
      <c r="D61" s="13" t="s">
        <v>139</v>
      </c>
      <c r="E61" s="14"/>
      <c r="F61" s="14"/>
      <c r="G61" s="14"/>
      <c r="H61" s="14"/>
      <c r="I61" s="160">
        <f t="shared" si="5"/>
        <v>0</v>
      </c>
      <c r="J61" s="14">
        <v>25000</v>
      </c>
      <c r="K61" s="14"/>
      <c r="L61" s="152">
        <f t="shared" ref="L61:L64" si="6">I61+J61+K61</f>
        <v>25000</v>
      </c>
      <c r="M61" s="19"/>
      <c r="N61" s="125">
        <v>500</v>
      </c>
      <c r="O61" s="173">
        <v>200</v>
      </c>
      <c r="P61" s="163">
        <f t="shared" ref="P61:P64" si="7">L61-M61-N61-O61</f>
        <v>24300</v>
      </c>
    </row>
    <row r="62" spans="1:16" x14ac:dyDescent="0.25">
      <c r="A62" s="20">
        <v>3</v>
      </c>
      <c r="B62" s="12" t="s">
        <v>307</v>
      </c>
      <c r="C62" s="21" t="s">
        <v>56</v>
      </c>
      <c r="D62" s="13" t="s">
        <v>141</v>
      </c>
      <c r="E62" s="131"/>
      <c r="F62" s="131"/>
      <c r="G62" s="131"/>
      <c r="H62" s="131"/>
      <c r="I62" s="160">
        <f t="shared" si="5"/>
        <v>0</v>
      </c>
      <c r="J62" s="131">
        <v>30000</v>
      </c>
      <c r="K62" s="131"/>
      <c r="L62" s="152">
        <f t="shared" si="6"/>
        <v>30000</v>
      </c>
      <c r="M62" s="17"/>
      <c r="N62" s="124">
        <v>500</v>
      </c>
      <c r="O62" s="173">
        <v>200</v>
      </c>
      <c r="P62" s="163">
        <f t="shared" si="7"/>
        <v>29300</v>
      </c>
    </row>
    <row r="63" spans="1:16" x14ac:dyDescent="0.25">
      <c r="A63" s="20">
        <v>4</v>
      </c>
      <c r="B63" s="12" t="s">
        <v>142</v>
      </c>
      <c r="C63" s="12" t="s">
        <v>34</v>
      </c>
      <c r="D63" s="13" t="s">
        <v>143</v>
      </c>
      <c r="E63" s="14"/>
      <c r="F63" s="14"/>
      <c r="G63" s="14"/>
      <c r="H63" s="14"/>
      <c r="I63" s="160">
        <f t="shared" si="5"/>
        <v>0</v>
      </c>
      <c r="J63" s="14">
        <v>0</v>
      </c>
      <c r="K63" s="14"/>
      <c r="L63" s="152">
        <f t="shared" si="6"/>
        <v>0</v>
      </c>
      <c r="M63" s="19"/>
      <c r="N63" s="125"/>
      <c r="O63" s="173"/>
      <c r="P63" s="163">
        <f t="shared" si="7"/>
        <v>0</v>
      </c>
    </row>
    <row r="64" spans="1:16" x14ac:dyDescent="0.25">
      <c r="A64" s="20">
        <v>5</v>
      </c>
      <c r="B64" s="12" t="s">
        <v>144</v>
      </c>
      <c r="C64" s="12" t="s">
        <v>16</v>
      </c>
      <c r="D64" s="13" t="s">
        <v>145</v>
      </c>
      <c r="E64" s="14"/>
      <c r="F64" s="14"/>
      <c r="G64" s="14"/>
      <c r="H64" s="14"/>
      <c r="I64" s="160">
        <f t="shared" si="5"/>
        <v>0</v>
      </c>
      <c r="J64" s="14">
        <v>0</v>
      </c>
      <c r="K64" s="14"/>
      <c r="L64" s="152">
        <f t="shared" si="6"/>
        <v>0</v>
      </c>
      <c r="M64" s="19"/>
      <c r="N64" s="125"/>
      <c r="O64" s="173"/>
      <c r="P64" s="163">
        <f t="shared" si="7"/>
        <v>0</v>
      </c>
    </row>
    <row r="65" spans="1:16" x14ac:dyDescent="0.25">
      <c r="A65" s="2"/>
      <c r="B65" s="2"/>
      <c r="C65" s="2"/>
      <c r="D65" s="53" t="s">
        <v>146</v>
      </c>
      <c r="E65" s="8"/>
      <c r="F65" s="8"/>
      <c r="G65" s="14"/>
      <c r="H65" s="14"/>
      <c r="I65" s="160">
        <f t="shared" si="5"/>
        <v>0</v>
      </c>
      <c r="J65" s="18">
        <f t="shared" ref="J65:O65" si="8">SUM(J60:J64)</f>
        <v>95000</v>
      </c>
      <c r="K65" s="18">
        <f t="shared" si="8"/>
        <v>0</v>
      </c>
      <c r="L65" s="154">
        <f t="shared" si="8"/>
        <v>95000</v>
      </c>
      <c r="M65" s="55">
        <f t="shared" si="8"/>
        <v>0</v>
      </c>
      <c r="N65" s="127">
        <f t="shared" si="8"/>
        <v>1550</v>
      </c>
      <c r="O65" s="175">
        <f t="shared" si="8"/>
        <v>600</v>
      </c>
      <c r="P65" s="163">
        <f>SUM(P60:P64)</f>
        <v>92850</v>
      </c>
    </row>
    <row r="66" spans="1:16" x14ac:dyDescent="0.25">
      <c r="A66" s="2" t="s">
        <v>147</v>
      </c>
      <c r="B66" s="20"/>
      <c r="C66" s="20"/>
      <c r="D66" s="13"/>
      <c r="E66" s="14"/>
      <c r="F66" s="14"/>
      <c r="G66" s="14"/>
      <c r="H66" s="14"/>
      <c r="I66" s="160"/>
      <c r="J66" s="14"/>
      <c r="K66" s="14"/>
      <c r="L66" s="152"/>
      <c r="M66" s="19"/>
      <c r="N66" s="125"/>
      <c r="O66" s="173"/>
      <c r="P66" s="166"/>
    </row>
    <row r="67" spans="1:16" x14ac:dyDescent="0.25">
      <c r="A67" s="20"/>
      <c r="B67" s="20"/>
      <c r="C67" s="20"/>
      <c r="D67" s="20"/>
      <c r="E67" s="15"/>
      <c r="F67" s="15"/>
      <c r="G67" s="14"/>
      <c r="H67" s="14"/>
      <c r="I67" s="160"/>
      <c r="J67" s="20"/>
      <c r="K67" s="20"/>
      <c r="L67" s="155"/>
      <c r="M67" s="20"/>
      <c r="N67" s="129"/>
      <c r="O67" s="176"/>
      <c r="P67" s="167"/>
    </row>
    <row r="68" spans="1:16" x14ac:dyDescent="0.25">
      <c r="A68" s="20">
        <v>1</v>
      </c>
      <c r="B68" s="12" t="s">
        <v>150</v>
      </c>
      <c r="C68" s="12" t="s">
        <v>27</v>
      </c>
      <c r="D68" s="13" t="s">
        <v>151</v>
      </c>
      <c r="E68" s="14"/>
      <c r="F68" s="14"/>
      <c r="G68" s="14"/>
      <c r="H68" s="14"/>
      <c r="I68" s="160">
        <f>SUM(G68:G68)</f>
        <v>0</v>
      </c>
      <c r="J68" s="14">
        <v>40000</v>
      </c>
      <c r="K68" s="14"/>
      <c r="L68" s="152">
        <f>I68+J68+K68</f>
        <v>40000</v>
      </c>
      <c r="M68" s="19"/>
      <c r="N68" s="125"/>
      <c r="O68" s="173"/>
      <c r="P68" s="163">
        <f>L68-M68-N68-O68</f>
        <v>40000</v>
      </c>
    </row>
    <row r="69" spans="1:16" x14ac:dyDescent="0.25">
      <c r="A69" s="20">
        <v>2</v>
      </c>
      <c r="B69" s="12" t="s">
        <v>152</v>
      </c>
      <c r="C69" s="12" t="s">
        <v>27</v>
      </c>
      <c r="D69" s="13" t="s">
        <v>153</v>
      </c>
      <c r="E69" s="14"/>
      <c r="F69" s="14"/>
      <c r="G69" s="14"/>
      <c r="H69" s="14"/>
      <c r="I69" s="160">
        <f>SUM(G69:G69)</f>
        <v>0</v>
      </c>
      <c r="J69" s="14">
        <v>25000</v>
      </c>
      <c r="K69" s="14"/>
      <c r="L69" s="152">
        <f t="shared" ref="L69:L70" si="9">I69+J69+K69</f>
        <v>25000</v>
      </c>
      <c r="M69" s="19"/>
      <c r="N69" s="125"/>
      <c r="O69" s="173"/>
      <c r="P69" s="163">
        <f t="shared" ref="P69:P70" si="10">L69-M69-N69-O69</f>
        <v>25000</v>
      </c>
    </row>
    <row r="70" spans="1:16" x14ac:dyDescent="0.25">
      <c r="A70" s="20">
        <v>3</v>
      </c>
      <c r="B70" s="12" t="s">
        <v>154</v>
      </c>
      <c r="C70" s="12" t="s">
        <v>19</v>
      </c>
      <c r="D70" s="13" t="s">
        <v>155</v>
      </c>
      <c r="E70" s="131"/>
      <c r="F70" s="131"/>
      <c r="G70" s="131"/>
      <c r="H70" s="131"/>
      <c r="I70" s="160">
        <f>SUM(G70:G70)</f>
        <v>0</v>
      </c>
      <c r="J70" s="131">
        <v>20000</v>
      </c>
      <c r="K70" s="131"/>
      <c r="L70" s="152">
        <f t="shared" si="9"/>
        <v>20000</v>
      </c>
      <c r="M70" s="17"/>
      <c r="N70" s="124">
        <v>500</v>
      </c>
      <c r="O70" s="172">
        <v>200</v>
      </c>
      <c r="P70" s="163">
        <f t="shared" si="10"/>
        <v>19300</v>
      </c>
    </row>
    <row r="71" spans="1:16" x14ac:dyDescent="0.25">
      <c r="A71" s="2"/>
      <c r="B71" s="2"/>
      <c r="C71" s="2"/>
      <c r="D71" s="53" t="s">
        <v>156</v>
      </c>
      <c r="E71" s="8"/>
      <c r="F71" s="8"/>
      <c r="G71" s="14"/>
      <c r="H71" s="14"/>
      <c r="I71" s="160">
        <f>SUM(G71:G71)</f>
        <v>0</v>
      </c>
      <c r="J71" s="8">
        <f>SUM(J68:J70)</f>
        <v>85000</v>
      </c>
      <c r="K71" s="8">
        <f t="shared" ref="K71:M71" si="11">SUM(K68:K70)</f>
        <v>0</v>
      </c>
      <c r="L71" s="152">
        <f>SUM(L68:L70)</f>
        <v>85000</v>
      </c>
      <c r="M71" s="34">
        <f t="shared" si="11"/>
        <v>0</v>
      </c>
      <c r="N71" s="127">
        <f>SUM(N68:N70)</f>
        <v>500</v>
      </c>
      <c r="O71" s="174">
        <f>SUM(O68:O70)</f>
        <v>200</v>
      </c>
      <c r="P71" s="165">
        <f>SUM(P68:P70)</f>
        <v>84300</v>
      </c>
    </row>
    <row r="72" spans="1:16" x14ac:dyDescent="0.25">
      <c r="A72" s="2" t="s">
        <v>157</v>
      </c>
      <c r="B72" s="20"/>
      <c r="C72" s="20"/>
      <c r="D72" s="13"/>
      <c r="E72" s="14"/>
      <c r="F72" s="14"/>
      <c r="G72" s="14"/>
      <c r="H72" s="14"/>
      <c r="I72" s="160"/>
      <c r="J72" s="14"/>
      <c r="K72" s="14"/>
      <c r="L72" s="152"/>
      <c r="M72" s="19"/>
      <c r="N72" s="125"/>
      <c r="O72" s="173"/>
      <c r="P72" s="166"/>
    </row>
    <row r="73" spans="1:16" x14ac:dyDescent="0.25">
      <c r="A73" s="20">
        <v>1</v>
      </c>
      <c r="B73" s="12" t="s">
        <v>276</v>
      </c>
      <c r="C73" s="12" t="s">
        <v>19</v>
      </c>
      <c r="D73" s="13">
        <v>1236977351</v>
      </c>
      <c r="E73" s="14"/>
      <c r="F73" s="14">
        <v>1000</v>
      </c>
      <c r="G73" s="14"/>
      <c r="H73" s="14"/>
      <c r="I73" s="169">
        <f>SUM(E73:H73)</f>
        <v>1000</v>
      </c>
      <c r="J73" s="14">
        <v>40000</v>
      </c>
      <c r="K73" s="14">
        <v>0</v>
      </c>
      <c r="L73" s="152">
        <f>J73+I73+K73</f>
        <v>41000</v>
      </c>
      <c r="M73" s="19"/>
      <c r="N73" s="125">
        <v>650</v>
      </c>
      <c r="O73" s="175">
        <v>200</v>
      </c>
      <c r="P73" s="163">
        <f>L73-M73-N73-O73</f>
        <v>40150</v>
      </c>
    </row>
    <row r="74" spans="1:16" x14ac:dyDescent="0.25">
      <c r="A74" s="20"/>
      <c r="B74" s="20"/>
      <c r="C74" s="20"/>
      <c r="D74" s="20"/>
      <c r="E74" s="15"/>
      <c r="F74" s="15"/>
      <c r="G74" s="14"/>
      <c r="H74" s="14"/>
      <c r="I74" s="160"/>
      <c r="J74" s="20"/>
      <c r="K74" s="20"/>
      <c r="L74" s="155"/>
      <c r="M74" s="20"/>
      <c r="N74" s="129"/>
      <c r="O74" s="176"/>
      <c r="P74" s="167"/>
    </row>
    <row r="75" spans="1:16" x14ac:dyDescent="0.25">
      <c r="A75" s="2" t="s">
        <v>229</v>
      </c>
      <c r="B75" s="12"/>
      <c r="C75" s="12"/>
      <c r="D75" s="13"/>
      <c r="E75" s="14"/>
      <c r="F75" s="14"/>
      <c r="G75" s="14"/>
      <c r="H75" s="14"/>
      <c r="I75" s="160"/>
      <c r="J75" s="14"/>
      <c r="K75" s="14"/>
      <c r="L75" s="152"/>
      <c r="M75" s="19"/>
      <c r="N75" s="125"/>
      <c r="O75" s="173"/>
      <c r="P75" s="163"/>
    </row>
    <row r="76" spans="1:16" x14ac:dyDescent="0.25">
      <c r="A76" s="20">
        <v>1</v>
      </c>
      <c r="B76" s="12" t="s">
        <v>165</v>
      </c>
      <c r="C76" s="12" t="s">
        <v>27</v>
      </c>
      <c r="D76" s="13" t="s">
        <v>166</v>
      </c>
      <c r="E76" s="131"/>
      <c r="F76" s="131"/>
      <c r="G76" s="131"/>
      <c r="H76" s="131"/>
      <c r="I76" s="160">
        <f>SUM(E76:H76)</f>
        <v>0</v>
      </c>
      <c r="J76" s="131">
        <v>40000</v>
      </c>
      <c r="K76" s="131">
        <v>13350</v>
      </c>
      <c r="L76" s="152">
        <f>I76+J76+K76</f>
        <v>53350</v>
      </c>
      <c r="M76" s="17"/>
      <c r="N76" s="124">
        <v>500</v>
      </c>
      <c r="O76" s="172">
        <v>200</v>
      </c>
      <c r="P76" s="163">
        <f>L76-M76-N76-O76</f>
        <v>52650</v>
      </c>
    </row>
    <row r="77" spans="1:16" x14ac:dyDescent="0.25">
      <c r="A77" s="20">
        <v>2</v>
      </c>
      <c r="B77" s="12" t="s">
        <v>167</v>
      </c>
      <c r="C77" s="64" t="s">
        <v>27</v>
      </c>
      <c r="D77" s="13" t="s">
        <v>169</v>
      </c>
      <c r="E77" s="14"/>
      <c r="F77" s="14"/>
      <c r="G77" s="14">
        <f>1000+1000</f>
        <v>2000</v>
      </c>
      <c r="H77" s="14">
        <v>1000</v>
      </c>
      <c r="I77" s="160">
        <f t="shared" ref="I77:I79" si="12">SUM(E77:H77)</f>
        <v>3000</v>
      </c>
      <c r="J77" s="14">
        <v>35000</v>
      </c>
      <c r="K77" s="14">
        <v>2800</v>
      </c>
      <c r="L77" s="152">
        <f t="shared" ref="L77:L79" si="13">I77+J77+K77</f>
        <v>40800</v>
      </c>
      <c r="M77" s="19">
        <v>795</v>
      </c>
      <c r="N77" s="125">
        <v>605</v>
      </c>
      <c r="O77" s="172">
        <v>200</v>
      </c>
      <c r="P77" s="163">
        <f t="shared" ref="P77:P79" si="14">L77-M77-N77-O77</f>
        <v>39200</v>
      </c>
    </row>
    <row r="78" spans="1:16" x14ac:dyDescent="0.25">
      <c r="A78" s="20">
        <v>3</v>
      </c>
      <c r="B78" s="12" t="s">
        <v>315</v>
      </c>
      <c r="C78" s="64" t="s">
        <v>27</v>
      </c>
      <c r="D78" s="13" t="s">
        <v>184</v>
      </c>
      <c r="E78" s="14"/>
      <c r="F78" s="14"/>
      <c r="G78" s="14"/>
      <c r="H78" s="14"/>
      <c r="I78" s="160">
        <f t="shared" si="12"/>
        <v>0</v>
      </c>
      <c r="J78" s="14">
        <v>14400</v>
      </c>
      <c r="K78" s="14">
        <v>2100</v>
      </c>
      <c r="L78" s="152">
        <f t="shared" si="13"/>
        <v>16500</v>
      </c>
      <c r="M78" s="19"/>
      <c r="N78" s="125">
        <v>460</v>
      </c>
      <c r="O78" s="172">
        <v>200</v>
      </c>
      <c r="P78" s="163">
        <f t="shared" si="14"/>
        <v>15840</v>
      </c>
    </row>
    <row r="79" spans="1:16" x14ac:dyDescent="0.25">
      <c r="A79" s="20">
        <v>4</v>
      </c>
      <c r="B79" s="12" t="s">
        <v>171</v>
      </c>
      <c r="C79" s="12" t="s">
        <v>27</v>
      </c>
      <c r="D79" s="13" t="s">
        <v>172</v>
      </c>
      <c r="E79" s="14"/>
      <c r="F79" s="14"/>
      <c r="G79" s="14"/>
      <c r="H79" s="14"/>
      <c r="I79" s="160">
        <f t="shared" si="12"/>
        <v>0</v>
      </c>
      <c r="J79" s="14">
        <v>80000</v>
      </c>
      <c r="K79" s="14">
        <v>5600</v>
      </c>
      <c r="L79" s="152">
        <f t="shared" si="13"/>
        <v>85600</v>
      </c>
      <c r="M79" s="19"/>
      <c r="N79" s="125">
        <v>1075</v>
      </c>
      <c r="O79" s="172">
        <v>200</v>
      </c>
      <c r="P79" s="163">
        <f t="shared" si="14"/>
        <v>84325</v>
      </c>
    </row>
    <row r="80" spans="1:16" x14ac:dyDescent="0.25">
      <c r="A80" s="2"/>
      <c r="B80" s="2"/>
      <c r="C80" s="65"/>
      <c r="D80" s="53" t="s">
        <v>173</v>
      </c>
      <c r="E80" s="8"/>
      <c r="F80" s="8"/>
      <c r="G80" s="14"/>
      <c r="H80" s="14"/>
      <c r="I80" s="159">
        <f>SUM(I76:I79)</f>
        <v>3000</v>
      </c>
      <c r="J80" s="8">
        <f t="shared" ref="J80:M80" si="15">SUM(J76:J79)</f>
        <v>169400</v>
      </c>
      <c r="K80" s="8">
        <f t="shared" si="15"/>
        <v>23850</v>
      </c>
      <c r="L80" s="152">
        <f>SUM(L76:L79)</f>
        <v>196250</v>
      </c>
      <c r="M80" s="34">
        <f t="shared" si="15"/>
        <v>795</v>
      </c>
      <c r="N80" s="127">
        <f>SUM(N76:N79)</f>
        <v>2640</v>
      </c>
      <c r="O80" s="174">
        <f>SUM(O76:O79)</f>
        <v>800</v>
      </c>
      <c r="P80" s="163">
        <f>SUM(P76:P79)</f>
        <v>192015</v>
      </c>
    </row>
    <row r="81" spans="1:16" x14ac:dyDescent="0.25">
      <c r="A81" s="2"/>
      <c r="B81" s="2"/>
      <c r="C81" s="65"/>
      <c r="D81" s="53"/>
      <c r="E81" s="8"/>
      <c r="F81" s="8"/>
      <c r="G81" s="14"/>
      <c r="H81" s="14"/>
      <c r="I81" s="160"/>
      <c r="J81" s="8"/>
      <c r="K81" s="8"/>
      <c r="L81" s="152"/>
      <c r="M81" s="34"/>
      <c r="N81" s="127"/>
      <c r="O81" s="175"/>
      <c r="P81" s="163"/>
    </row>
    <row r="82" spans="1:16" x14ac:dyDescent="0.25">
      <c r="A82" s="2"/>
      <c r="B82" s="2"/>
      <c r="C82" s="2"/>
      <c r="D82" s="2" t="s">
        <v>174</v>
      </c>
      <c r="E82" s="8"/>
      <c r="F82" s="8"/>
      <c r="G82" s="14"/>
      <c r="H82" s="14"/>
      <c r="I82" s="159"/>
      <c r="J82" s="8">
        <f>J57+J65+J71+J73+J80</f>
        <v>1812850</v>
      </c>
      <c r="K82" s="8">
        <f>K57+K65+K71+K73+K80</f>
        <v>216870</v>
      </c>
      <c r="L82" s="152">
        <f>L57+L65+L71+L73+L80</f>
        <v>2189720</v>
      </c>
      <c r="M82" s="34">
        <f>M57+M65+M71+M73+M80</f>
        <v>41130</v>
      </c>
      <c r="N82" s="127">
        <f>N57+N65+N71+N73+N80</f>
        <v>36596.25</v>
      </c>
      <c r="O82" s="175">
        <f>O80+O73+O71+O65+O57</f>
        <v>11800</v>
      </c>
      <c r="P82" s="165">
        <f>P57+P65+P71+P73+P80</f>
        <v>2100193.75</v>
      </c>
    </row>
  </sheetData>
  <mergeCells count="3">
    <mergeCell ref="A1:P1"/>
    <mergeCell ref="P3:P4"/>
    <mergeCell ref="M3:O3"/>
  </mergeCells>
  <pageMargins left="0.25" right="0.25" top="0.75" bottom="0.75" header="0.3" footer="0.3"/>
  <pageSetup paperSize="9" scale="4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15C0-3DAE-43FC-A133-48A51746AE71}">
  <sheetPr>
    <pageSetUpPr fitToPage="1"/>
  </sheetPr>
  <dimension ref="A1:V80"/>
  <sheetViews>
    <sheetView zoomScale="85" zoomScaleNormal="85" workbookViewId="0">
      <selection activeCell="G17" sqref="G17"/>
    </sheetView>
  </sheetViews>
  <sheetFormatPr defaultRowHeight="15" x14ac:dyDescent="0.25"/>
  <cols>
    <col min="1" max="1" width="19.28515625" bestFit="1" customWidth="1"/>
    <col min="2" max="2" width="29.42578125" bestFit="1" customWidth="1"/>
    <col min="3" max="3" width="9.85546875" bestFit="1" customWidth="1"/>
    <col min="4" max="4" width="15.42578125" customWidth="1"/>
    <col min="5" max="8" width="13.7109375" customWidth="1"/>
    <col min="9" max="9" width="11.7109375" style="208" customWidth="1"/>
    <col min="10" max="10" width="14.85546875" customWidth="1"/>
    <col min="11" max="11" width="12.28515625" customWidth="1"/>
    <col min="12" max="12" width="16.5703125" customWidth="1"/>
    <col min="13" max="13" width="13.28515625" style="230" customWidth="1"/>
    <col min="14" max="14" width="10.5703125" customWidth="1"/>
    <col min="15" max="15" width="10.5703125" style="85" customWidth="1"/>
    <col min="16" max="16" width="11.5703125" style="213" bestFit="1" customWidth="1"/>
    <col min="17" max="17" width="14.42578125" style="213" bestFit="1" customWidth="1"/>
    <col min="18" max="18" width="10.5703125" customWidth="1"/>
    <col min="19" max="19" width="13.28515625" style="212" customWidth="1"/>
  </cols>
  <sheetData>
    <row r="1" spans="1:19" x14ac:dyDescent="0.25">
      <c r="A1" s="231" t="s">
        <v>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3"/>
    </row>
    <row r="2" spans="1:19" x14ac:dyDescent="0.25">
      <c r="A2" s="116">
        <v>46266</v>
      </c>
      <c r="B2" s="121" t="s">
        <v>1</v>
      </c>
      <c r="C2" s="121"/>
      <c r="D2" s="121"/>
      <c r="E2" s="114"/>
      <c r="F2" s="114"/>
      <c r="G2" s="121"/>
      <c r="H2" s="121"/>
      <c r="I2" s="204"/>
      <c r="J2" s="121"/>
      <c r="K2" s="245" t="s">
        <v>256</v>
      </c>
      <c r="L2" s="246"/>
      <c r="M2" s="242" t="s">
        <v>12</v>
      </c>
      <c r="N2" s="234" t="s">
        <v>3</v>
      </c>
      <c r="O2" s="235"/>
      <c r="P2" s="235"/>
      <c r="Q2" s="235"/>
      <c r="R2" s="236"/>
      <c r="S2" s="209"/>
    </row>
    <row r="3" spans="1:19" x14ac:dyDescent="0.25">
      <c r="A3" s="2" t="s">
        <v>2</v>
      </c>
      <c r="B3" s="2"/>
      <c r="C3" s="2"/>
      <c r="D3" s="2"/>
      <c r="E3" s="239" t="s">
        <v>9</v>
      </c>
      <c r="F3" s="240"/>
      <c r="G3" s="240"/>
      <c r="H3" s="241"/>
      <c r="I3" s="205"/>
      <c r="J3" s="114"/>
      <c r="K3" s="247"/>
      <c r="L3" s="248"/>
      <c r="M3" s="243"/>
      <c r="N3" s="222"/>
      <c r="O3" s="15"/>
      <c r="P3" s="238" t="s">
        <v>355</v>
      </c>
      <c r="Q3" s="238"/>
      <c r="R3" s="20"/>
      <c r="S3" s="237" t="s">
        <v>4</v>
      </c>
    </row>
    <row r="4" spans="1:19" x14ac:dyDescent="0.25">
      <c r="A4" s="2" t="s">
        <v>5</v>
      </c>
      <c r="B4" s="2" t="s">
        <v>6</v>
      </c>
      <c r="C4" s="2" t="s">
        <v>7</v>
      </c>
      <c r="D4" s="2" t="s">
        <v>8</v>
      </c>
      <c r="E4" s="74" t="s">
        <v>364</v>
      </c>
      <c r="F4" s="74" t="s">
        <v>368</v>
      </c>
      <c r="G4" s="2" t="s">
        <v>369</v>
      </c>
      <c r="H4" s="2" t="s">
        <v>370</v>
      </c>
      <c r="I4" s="206" t="s">
        <v>363</v>
      </c>
      <c r="J4" s="8" t="s">
        <v>10</v>
      </c>
      <c r="K4" s="221" t="s">
        <v>371</v>
      </c>
      <c r="L4" s="221" t="s">
        <v>270</v>
      </c>
      <c r="M4" s="244"/>
      <c r="N4" s="223" t="s">
        <v>13</v>
      </c>
      <c r="O4" s="220" t="s">
        <v>358</v>
      </c>
      <c r="P4" s="217" t="s">
        <v>356</v>
      </c>
      <c r="Q4" s="217" t="s">
        <v>357</v>
      </c>
      <c r="R4" s="218" t="s">
        <v>327</v>
      </c>
      <c r="S4" s="237"/>
    </row>
    <row r="5" spans="1:19" x14ac:dyDescent="0.25">
      <c r="A5" s="120" t="s">
        <v>14</v>
      </c>
      <c r="B5" s="12" t="s">
        <v>15</v>
      </c>
      <c r="C5" s="12" t="s">
        <v>27</v>
      </c>
      <c r="D5" s="13" t="s">
        <v>343</v>
      </c>
      <c r="E5" s="14"/>
      <c r="F5" s="14"/>
      <c r="G5" s="14"/>
      <c r="H5" s="14">
        <f>1000+1000</f>
        <v>2000</v>
      </c>
      <c r="I5" s="207">
        <f>SUM(E5:H5)</f>
        <v>2000</v>
      </c>
      <c r="J5" s="14">
        <v>28000</v>
      </c>
      <c r="K5" s="14"/>
      <c r="L5" s="14">
        <v>4350</v>
      </c>
      <c r="M5" s="227">
        <f>I5+J5+K5+L5</f>
        <v>34350</v>
      </c>
      <c r="N5" s="185"/>
      <c r="O5" s="124">
        <v>550</v>
      </c>
      <c r="P5" s="214">
        <v>540</v>
      </c>
      <c r="Q5" s="214">
        <v>660</v>
      </c>
      <c r="R5" s="172">
        <v>200</v>
      </c>
      <c r="S5" s="210">
        <f>M5-N5-O5-P5-Q5-R5</f>
        <v>32400</v>
      </c>
    </row>
    <row r="6" spans="1:19" x14ac:dyDescent="0.25">
      <c r="A6" s="133" t="s">
        <v>17</v>
      </c>
      <c r="B6" s="12" t="s">
        <v>18</v>
      </c>
      <c r="C6" s="12" t="s">
        <v>19</v>
      </c>
      <c r="D6" s="13" t="s">
        <v>20</v>
      </c>
      <c r="E6" s="131">
        <v>1000</v>
      </c>
      <c r="F6" s="131">
        <v>1000</v>
      </c>
      <c r="G6" s="131">
        <v>1000</v>
      </c>
      <c r="H6" s="131">
        <v>1000</v>
      </c>
      <c r="I6" s="207">
        <f t="shared" ref="I6:I54" si="0">SUM(E6:H6)</f>
        <v>4000</v>
      </c>
      <c r="J6" s="131">
        <v>25000</v>
      </c>
      <c r="K6" s="131"/>
      <c r="L6" s="131">
        <f>5500+4100</f>
        <v>9600</v>
      </c>
      <c r="M6" s="227">
        <f t="shared" ref="M6:M54" si="1">I6+J6+K6+L6</f>
        <v>38600</v>
      </c>
      <c r="N6" s="185"/>
      <c r="O6" s="124">
        <v>550</v>
      </c>
      <c r="P6" s="214"/>
      <c r="Q6" s="214"/>
      <c r="R6" s="172">
        <v>200</v>
      </c>
      <c r="S6" s="210">
        <f t="shared" ref="S6:S54" si="2">M6-N6-O6-P6-Q6-R6</f>
        <v>37850</v>
      </c>
    </row>
    <row r="7" spans="1:19" x14ac:dyDescent="0.25">
      <c r="A7" s="133" t="s">
        <v>21</v>
      </c>
      <c r="B7" s="12" t="s">
        <v>22</v>
      </c>
      <c r="C7" s="12" t="s">
        <v>27</v>
      </c>
      <c r="D7" s="13" t="s">
        <v>347</v>
      </c>
      <c r="E7" s="131"/>
      <c r="F7" s="131">
        <v>3000</v>
      </c>
      <c r="G7" s="131">
        <v>1500</v>
      </c>
      <c r="H7" s="131">
        <f>1000+1000+1000</f>
        <v>3000</v>
      </c>
      <c r="I7" s="207">
        <f t="shared" si="0"/>
        <v>7500</v>
      </c>
      <c r="J7" s="131">
        <v>20000</v>
      </c>
      <c r="K7" s="131"/>
      <c r="L7" s="131">
        <v>4960</v>
      </c>
      <c r="M7" s="227">
        <f t="shared" si="1"/>
        <v>32460</v>
      </c>
      <c r="N7" s="185"/>
      <c r="O7" s="124">
        <v>500</v>
      </c>
      <c r="P7" s="214"/>
      <c r="Q7" s="214"/>
      <c r="R7" s="172">
        <v>200</v>
      </c>
      <c r="S7" s="210">
        <f t="shared" si="2"/>
        <v>31760</v>
      </c>
    </row>
    <row r="8" spans="1:19" x14ac:dyDescent="0.25">
      <c r="A8" s="133" t="s">
        <v>25</v>
      </c>
      <c r="B8" s="12" t="s">
        <v>26</v>
      </c>
      <c r="C8" s="12" t="s">
        <v>27</v>
      </c>
      <c r="D8" s="13" t="s">
        <v>28</v>
      </c>
      <c r="E8" s="131"/>
      <c r="F8" s="131"/>
      <c r="G8" s="131"/>
      <c r="H8" s="131"/>
      <c r="I8" s="207">
        <f t="shared" si="0"/>
        <v>0</v>
      </c>
      <c r="J8" s="131">
        <v>11100</v>
      </c>
      <c r="K8" s="131"/>
      <c r="L8" s="131"/>
      <c r="M8" s="227">
        <f t="shared" si="1"/>
        <v>11100</v>
      </c>
      <c r="N8" s="185"/>
      <c r="O8" s="124"/>
      <c r="P8" s="214"/>
      <c r="Q8" s="214"/>
      <c r="R8" s="172">
        <v>200</v>
      </c>
      <c r="S8" s="210">
        <f t="shared" si="2"/>
        <v>10900</v>
      </c>
    </row>
    <row r="9" spans="1:19" x14ac:dyDescent="0.25">
      <c r="A9" s="133" t="s">
        <v>29</v>
      </c>
      <c r="B9" s="12" t="s">
        <v>30</v>
      </c>
      <c r="C9" s="12" t="s">
        <v>27</v>
      </c>
      <c r="D9" s="13" t="s">
        <v>31</v>
      </c>
      <c r="E9" s="131"/>
      <c r="F9" s="131"/>
      <c r="G9" s="131"/>
      <c r="H9" s="131"/>
      <c r="I9" s="207">
        <f t="shared" si="0"/>
        <v>0</v>
      </c>
      <c r="J9" s="131">
        <v>30000</v>
      </c>
      <c r="K9" s="131"/>
      <c r="L9" s="131">
        <f>34600+40000</f>
        <v>74600</v>
      </c>
      <c r="M9" s="227">
        <f t="shared" si="1"/>
        <v>104600</v>
      </c>
      <c r="N9" s="185"/>
      <c r="O9" s="124"/>
      <c r="P9" s="214"/>
      <c r="Q9" s="214"/>
      <c r="R9" s="172">
        <v>200</v>
      </c>
      <c r="S9" s="210">
        <f t="shared" si="2"/>
        <v>104400</v>
      </c>
    </row>
    <row r="10" spans="1:19" x14ac:dyDescent="0.25">
      <c r="A10" s="133" t="s">
        <v>32</v>
      </c>
      <c r="B10" s="20" t="s">
        <v>258</v>
      </c>
      <c r="C10" s="12" t="s">
        <v>27</v>
      </c>
      <c r="D10" s="13" t="s">
        <v>336</v>
      </c>
      <c r="E10" s="131">
        <v>1000</v>
      </c>
      <c r="F10" s="131"/>
      <c r="G10" s="131">
        <v>500</v>
      </c>
      <c r="H10" s="131">
        <v>1000</v>
      </c>
      <c r="I10" s="207">
        <f t="shared" si="0"/>
        <v>2500</v>
      </c>
      <c r="J10" s="131">
        <v>20000</v>
      </c>
      <c r="K10" s="131"/>
      <c r="L10" s="131">
        <v>6750</v>
      </c>
      <c r="M10" s="227">
        <f t="shared" si="1"/>
        <v>29250</v>
      </c>
      <c r="N10" s="185"/>
      <c r="O10" s="124">
        <v>495</v>
      </c>
      <c r="P10" s="214">
        <v>540</v>
      </c>
      <c r="Q10" s="214">
        <v>540</v>
      </c>
      <c r="R10" s="172">
        <v>200</v>
      </c>
      <c r="S10" s="210">
        <f t="shared" si="2"/>
        <v>27475</v>
      </c>
    </row>
    <row r="11" spans="1:19" x14ac:dyDescent="0.25">
      <c r="A11" s="133" t="s">
        <v>36</v>
      </c>
      <c r="B11" s="12" t="s">
        <v>37</v>
      </c>
      <c r="C11" s="12" t="s">
        <v>27</v>
      </c>
      <c r="D11" s="13" t="s">
        <v>367</v>
      </c>
      <c r="E11" s="131">
        <f>1000+1000+1000</f>
        <v>3000</v>
      </c>
      <c r="F11" s="131"/>
      <c r="G11" s="131"/>
      <c r="H11" s="131">
        <f>1000+1000</f>
        <v>2000</v>
      </c>
      <c r="I11" s="207">
        <f t="shared" si="0"/>
        <v>5000</v>
      </c>
      <c r="J11" s="131">
        <v>50000</v>
      </c>
      <c r="K11" s="131"/>
      <c r="L11" s="131">
        <v>10930</v>
      </c>
      <c r="M11" s="227">
        <f t="shared" si="1"/>
        <v>65930</v>
      </c>
      <c r="N11" s="185"/>
      <c r="O11" s="124">
        <v>550</v>
      </c>
      <c r="P11" s="214">
        <v>540</v>
      </c>
      <c r="Q11" s="214">
        <v>660</v>
      </c>
      <c r="R11" s="172">
        <v>200</v>
      </c>
      <c r="S11" s="210">
        <f t="shared" si="2"/>
        <v>63980</v>
      </c>
    </row>
    <row r="12" spans="1:19" x14ac:dyDescent="0.25">
      <c r="A12" s="133" t="s">
        <v>39</v>
      </c>
      <c r="B12" s="20" t="s">
        <v>40</v>
      </c>
      <c r="C12" s="12" t="s">
        <v>27</v>
      </c>
      <c r="D12" s="13" t="s">
        <v>366</v>
      </c>
      <c r="E12" s="131"/>
      <c r="F12" s="131"/>
      <c r="G12" s="131"/>
      <c r="H12" s="131"/>
      <c r="I12" s="207">
        <f t="shared" si="0"/>
        <v>0</v>
      </c>
      <c r="J12" s="131">
        <v>20000</v>
      </c>
      <c r="K12" s="131"/>
      <c r="L12" s="131">
        <v>2250</v>
      </c>
      <c r="M12" s="227">
        <f t="shared" si="1"/>
        <v>22250</v>
      </c>
      <c r="N12" s="185"/>
      <c r="O12" s="124">
        <v>300</v>
      </c>
      <c r="P12" s="214">
        <v>0</v>
      </c>
      <c r="Q12" s="214">
        <v>0</v>
      </c>
      <c r="R12" s="172">
        <v>200</v>
      </c>
      <c r="S12" s="210">
        <f t="shared" si="2"/>
        <v>21750</v>
      </c>
    </row>
    <row r="13" spans="1:19" x14ac:dyDescent="0.25">
      <c r="A13" s="133" t="s">
        <v>42</v>
      </c>
      <c r="B13" s="12" t="s">
        <v>43</v>
      </c>
      <c r="C13" s="12" t="s">
        <v>34</v>
      </c>
      <c r="D13" s="13" t="s">
        <v>44</v>
      </c>
      <c r="E13" s="131"/>
      <c r="F13" s="131"/>
      <c r="G13" s="131"/>
      <c r="H13" s="131"/>
      <c r="I13" s="207">
        <f t="shared" si="0"/>
        <v>0</v>
      </c>
      <c r="J13" s="131">
        <v>30000</v>
      </c>
      <c r="K13" s="131"/>
      <c r="L13" s="131">
        <v>6550</v>
      </c>
      <c r="M13" s="227">
        <f t="shared" si="1"/>
        <v>36550</v>
      </c>
      <c r="N13" s="185"/>
      <c r="O13" s="124">
        <v>550</v>
      </c>
      <c r="P13" s="214">
        <v>540</v>
      </c>
      <c r="Q13" s="214">
        <v>660</v>
      </c>
      <c r="R13" s="172">
        <v>200</v>
      </c>
      <c r="S13" s="210">
        <f t="shared" si="2"/>
        <v>34600</v>
      </c>
    </row>
    <row r="14" spans="1:19" x14ac:dyDescent="0.25">
      <c r="A14" s="133" t="s">
        <v>45</v>
      </c>
      <c r="B14" s="12" t="s">
        <v>46</v>
      </c>
      <c r="C14" s="12" t="s">
        <v>27</v>
      </c>
      <c r="D14" s="13" t="s">
        <v>331</v>
      </c>
      <c r="E14" s="131">
        <f>1000+1000</f>
        <v>2000</v>
      </c>
      <c r="F14" s="131"/>
      <c r="G14" s="131"/>
      <c r="H14" s="131">
        <v>2000</v>
      </c>
      <c r="I14" s="207">
        <f t="shared" si="0"/>
        <v>4000</v>
      </c>
      <c r="J14" s="131">
        <v>70000</v>
      </c>
      <c r="K14" s="131"/>
      <c r="L14" s="131">
        <v>5200</v>
      </c>
      <c r="M14" s="227">
        <f t="shared" si="1"/>
        <v>79200</v>
      </c>
      <c r="N14" s="185"/>
      <c r="O14" s="124">
        <v>605</v>
      </c>
      <c r="P14" s="214">
        <v>540</v>
      </c>
      <c r="Q14" s="214">
        <v>780</v>
      </c>
      <c r="R14" s="172">
        <v>200</v>
      </c>
      <c r="S14" s="210">
        <f t="shared" si="2"/>
        <v>77075</v>
      </c>
    </row>
    <row r="15" spans="1:19" x14ac:dyDescent="0.25">
      <c r="A15" s="133" t="s">
        <v>48</v>
      </c>
      <c r="B15" s="12" t="s">
        <v>49</v>
      </c>
      <c r="C15" s="12" t="s">
        <v>27</v>
      </c>
      <c r="D15" s="13" t="s">
        <v>360</v>
      </c>
      <c r="E15" s="131">
        <f>1000+1000+1000</f>
        <v>3000</v>
      </c>
      <c r="F15" s="131"/>
      <c r="G15" s="131"/>
      <c r="H15" s="131"/>
      <c r="I15" s="207">
        <f t="shared" si="0"/>
        <v>3000</v>
      </c>
      <c r="J15" s="131">
        <v>20000</v>
      </c>
      <c r="K15" s="131"/>
      <c r="L15" s="131">
        <v>3000</v>
      </c>
      <c r="M15" s="227">
        <f t="shared" si="1"/>
        <v>26000</v>
      </c>
      <c r="N15" s="185"/>
      <c r="O15" s="124">
        <v>495</v>
      </c>
      <c r="P15" s="214"/>
      <c r="Q15" s="214"/>
      <c r="R15" s="172">
        <v>200</v>
      </c>
      <c r="S15" s="210">
        <f t="shared" si="2"/>
        <v>25305</v>
      </c>
    </row>
    <row r="16" spans="1:19" x14ac:dyDescent="0.25">
      <c r="A16" s="133" t="s">
        <v>51</v>
      </c>
      <c r="B16" s="12" t="s">
        <v>52</v>
      </c>
      <c r="C16" s="12" t="s">
        <v>27</v>
      </c>
      <c r="D16" s="13" t="s">
        <v>348</v>
      </c>
      <c r="E16" s="131">
        <f>1000+1000+1000</f>
        <v>3000</v>
      </c>
      <c r="F16" s="131"/>
      <c r="G16" s="131"/>
      <c r="H16" s="131">
        <v>1000</v>
      </c>
      <c r="I16" s="207">
        <f t="shared" si="0"/>
        <v>4000</v>
      </c>
      <c r="J16" s="131">
        <v>20000</v>
      </c>
      <c r="K16" s="131"/>
      <c r="L16" s="131">
        <f>2900+2000</f>
        <v>4900</v>
      </c>
      <c r="M16" s="227">
        <f t="shared" si="1"/>
        <v>28900</v>
      </c>
      <c r="N16" s="185"/>
      <c r="O16" s="124">
        <v>605</v>
      </c>
      <c r="P16" s="214">
        <v>540</v>
      </c>
      <c r="Q16" s="214">
        <v>780</v>
      </c>
      <c r="R16" s="172">
        <v>200</v>
      </c>
      <c r="S16" s="210">
        <f t="shared" si="2"/>
        <v>26775</v>
      </c>
    </row>
    <row r="17" spans="1:19" x14ac:dyDescent="0.25">
      <c r="A17" s="133" t="s">
        <v>54</v>
      </c>
      <c r="B17" s="12" t="s">
        <v>199</v>
      </c>
      <c r="C17" s="64" t="s">
        <v>27</v>
      </c>
      <c r="D17" s="13" t="s">
        <v>361</v>
      </c>
      <c r="E17" s="131">
        <f>500+500</f>
        <v>1000</v>
      </c>
      <c r="F17" s="131"/>
      <c r="G17" s="131">
        <v>500</v>
      </c>
      <c r="H17" s="131">
        <f>1000+500</f>
        <v>1500</v>
      </c>
      <c r="I17" s="207">
        <f t="shared" si="0"/>
        <v>3000</v>
      </c>
      <c r="J17" s="131">
        <v>20000</v>
      </c>
      <c r="K17" s="131"/>
      <c r="L17" s="131">
        <v>7500</v>
      </c>
      <c r="M17" s="227">
        <f t="shared" si="1"/>
        <v>30500</v>
      </c>
      <c r="N17" s="185"/>
      <c r="O17" s="124">
        <v>495</v>
      </c>
      <c r="P17" s="214">
        <v>540</v>
      </c>
      <c r="Q17" s="214">
        <v>540</v>
      </c>
      <c r="R17" s="172">
        <v>200</v>
      </c>
      <c r="S17" s="210">
        <f t="shared" si="2"/>
        <v>28725</v>
      </c>
    </row>
    <row r="18" spans="1:19" x14ac:dyDescent="0.25">
      <c r="A18" s="133" t="s">
        <v>58</v>
      </c>
      <c r="B18" s="12" t="s">
        <v>59</v>
      </c>
      <c r="C18" s="12" t="s">
        <v>34</v>
      </c>
      <c r="D18" s="13" t="s">
        <v>60</v>
      </c>
      <c r="E18" s="131"/>
      <c r="F18" s="131"/>
      <c r="G18" s="131"/>
      <c r="H18" s="131"/>
      <c r="I18" s="207">
        <f t="shared" si="0"/>
        <v>0</v>
      </c>
      <c r="J18" s="131">
        <v>35000</v>
      </c>
      <c r="K18" s="131"/>
      <c r="L18" s="131">
        <v>10000</v>
      </c>
      <c r="M18" s="227">
        <f t="shared" si="1"/>
        <v>45000</v>
      </c>
      <c r="N18" s="185"/>
      <c r="O18" s="124">
        <v>550</v>
      </c>
      <c r="P18" s="214">
        <v>540</v>
      </c>
      <c r="Q18" s="214">
        <v>660</v>
      </c>
      <c r="R18" s="172">
        <v>200</v>
      </c>
      <c r="S18" s="210">
        <f t="shared" si="2"/>
        <v>43050</v>
      </c>
    </row>
    <row r="19" spans="1:19" x14ac:dyDescent="0.25">
      <c r="A19" s="133" t="s">
        <v>61</v>
      </c>
      <c r="B19" s="12" t="s">
        <v>62</v>
      </c>
      <c r="C19" s="13" t="s">
        <v>27</v>
      </c>
      <c r="D19" s="13" t="s">
        <v>344</v>
      </c>
      <c r="E19" s="131"/>
      <c r="F19" s="131"/>
      <c r="G19" s="131"/>
      <c r="H19" s="131"/>
      <c r="I19" s="207">
        <f t="shared" si="0"/>
        <v>0</v>
      </c>
      <c r="J19" s="131">
        <v>25000</v>
      </c>
      <c r="K19" s="131"/>
      <c r="L19" s="131">
        <v>7500</v>
      </c>
      <c r="M19" s="227">
        <f t="shared" si="1"/>
        <v>32500</v>
      </c>
      <c r="N19" s="185"/>
      <c r="O19" s="124">
        <v>500</v>
      </c>
      <c r="P19" s="214"/>
      <c r="Q19" s="214"/>
      <c r="R19" s="172">
        <v>200</v>
      </c>
      <c r="S19" s="210">
        <f t="shared" si="2"/>
        <v>31800</v>
      </c>
    </row>
    <row r="20" spans="1:19" x14ac:dyDescent="0.25">
      <c r="A20" s="133" t="s">
        <v>64</v>
      </c>
      <c r="B20" s="12" t="s">
        <v>65</v>
      </c>
      <c r="C20" s="12" t="s">
        <v>27</v>
      </c>
      <c r="D20" s="13" t="s">
        <v>359</v>
      </c>
      <c r="E20" s="131"/>
      <c r="F20" s="131"/>
      <c r="G20" s="131"/>
      <c r="H20" s="131"/>
      <c r="I20" s="207">
        <f t="shared" si="0"/>
        <v>0</v>
      </c>
      <c r="J20" s="131">
        <v>25000</v>
      </c>
      <c r="K20" s="131"/>
      <c r="L20" s="131">
        <v>7500</v>
      </c>
      <c r="M20" s="227">
        <f t="shared" si="1"/>
        <v>32500</v>
      </c>
      <c r="N20" s="185"/>
      <c r="O20" s="124">
        <v>550</v>
      </c>
      <c r="P20" s="214">
        <v>540</v>
      </c>
      <c r="Q20" s="214">
        <v>660</v>
      </c>
      <c r="R20" s="172">
        <v>200</v>
      </c>
      <c r="S20" s="210">
        <f t="shared" si="2"/>
        <v>30550</v>
      </c>
    </row>
    <row r="21" spans="1:19" x14ac:dyDescent="0.25">
      <c r="A21" s="133" t="s">
        <v>67</v>
      </c>
      <c r="B21" s="12" t="s">
        <v>68</v>
      </c>
      <c r="C21" s="12" t="s">
        <v>27</v>
      </c>
      <c r="D21" s="13" t="s">
        <v>351</v>
      </c>
      <c r="E21" s="131"/>
      <c r="F21" s="131">
        <v>500</v>
      </c>
      <c r="G21" s="131"/>
      <c r="H21" s="131"/>
      <c r="I21" s="207">
        <f t="shared" si="0"/>
        <v>500</v>
      </c>
      <c r="J21" s="131">
        <v>25000</v>
      </c>
      <c r="K21" s="131"/>
      <c r="L21" s="131">
        <v>9110</v>
      </c>
      <c r="M21" s="227">
        <f t="shared" si="1"/>
        <v>34610</v>
      </c>
      <c r="N21" s="185"/>
      <c r="O21" s="124">
        <v>600</v>
      </c>
      <c r="P21" s="214">
        <v>540</v>
      </c>
      <c r="Q21" s="214">
        <v>780</v>
      </c>
      <c r="R21" s="172">
        <v>200</v>
      </c>
      <c r="S21" s="210">
        <f t="shared" si="2"/>
        <v>32490</v>
      </c>
    </row>
    <row r="22" spans="1:19" x14ac:dyDescent="0.25">
      <c r="A22" s="133" t="s">
        <v>70</v>
      </c>
      <c r="B22" s="20" t="s">
        <v>71</v>
      </c>
      <c r="C22" s="12" t="s">
        <v>27</v>
      </c>
      <c r="D22" s="13" t="s">
        <v>332</v>
      </c>
      <c r="E22" s="131"/>
      <c r="F22" s="131"/>
      <c r="G22" s="131"/>
      <c r="H22" s="131"/>
      <c r="I22" s="207">
        <f t="shared" si="0"/>
        <v>0</v>
      </c>
      <c r="J22" s="131">
        <v>29000</v>
      </c>
      <c r="K22" s="131"/>
      <c r="L22" s="131">
        <v>6000</v>
      </c>
      <c r="M22" s="227">
        <f t="shared" si="1"/>
        <v>35000</v>
      </c>
      <c r="N22" s="185"/>
      <c r="O22" s="124">
        <v>550</v>
      </c>
      <c r="P22" s="214">
        <v>540</v>
      </c>
      <c r="Q22" s="214">
        <v>660</v>
      </c>
      <c r="R22" s="172">
        <v>200</v>
      </c>
      <c r="S22" s="210">
        <f t="shared" si="2"/>
        <v>33050</v>
      </c>
    </row>
    <row r="23" spans="1:19" x14ac:dyDescent="0.25">
      <c r="A23" s="133" t="s">
        <v>73</v>
      </c>
      <c r="B23" s="12" t="s">
        <v>74</v>
      </c>
      <c r="C23" s="12" t="s">
        <v>27</v>
      </c>
      <c r="D23" s="13" t="s">
        <v>372</v>
      </c>
      <c r="E23" s="131"/>
      <c r="F23" s="131"/>
      <c r="G23" s="131"/>
      <c r="H23" s="131"/>
      <c r="I23" s="207">
        <f t="shared" si="0"/>
        <v>0</v>
      </c>
      <c r="J23" s="131">
        <v>10000</v>
      </c>
      <c r="K23" s="131"/>
      <c r="L23" s="131"/>
      <c r="M23" s="227">
        <f t="shared" si="1"/>
        <v>10000</v>
      </c>
      <c r="N23" s="185"/>
      <c r="O23" s="124">
        <v>300</v>
      </c>
      <c r="P23" s="214">
        <v>0</v>
      </c>
      <c r="Q23" s="214">
        <v>0</v>
      </c>
      <c r="R23" s="172">
        <v>200</v>
      </c>
      <c r="S23" s="210">
        <f t="shared" si="2"/>
        <v>9500</v>
      </c>
    </row>
    <row r="24" spans="1:19" x14ac:dyDescent="0.25">
      <c r="A24" s="133" t="s">
        <v>76</v>
      </c>
      <c r="B24" s="12" t="s">
        <v>77</v>
      </c>
      <c r="C24" s="20" t="s">
        <v>27</v>
      </c>
      <c r="D24" s="13" t="s">
        <v>373</v>
      </c>
      <c r="E24" s="131"/>
      <c r="F24" s="131"/>
      <c r="G24" s="131"/>
      <c r="H24" s="131"/>
      <c r="I24" s="207">
        <f t="shared" si="0"/>
        <v>0</v>
      </c>
      <c r="J24" s="131">
        <v>50000</v>
      </c>
      <c r="K24" s="131"/>
      <c r="L24" s="131">
        <v>30750</v>
      </c>
      <c r="M24" s="227">
        <f t="shared" si="1"/>
        <v>80750</v>
      </c>
      <c r="N24" s="185"/>
      <c r="O24" s="124">
        <v>660</v>
      </c>
      <c r="P24" s="214">
        <v>540</v>
      </c>
      <c r="Q24" s="214">
        <v>900</v>
      </c>
      <c r="R24" s="172">
        <v>200</v>
      </c>
      <c r="S24" s="210">
        <f t="shared" si="2"/>
        <v>78450</v>
      </c>
    </row>
    <row r="25" spans="1:19" x14ac:dyDescent="0.25">
      <c r="A25" s="133" t="s">
        <v>80</v>
      </c>
      <c r="B25" s="20" t="s">
        <v>81</v>
      </c>
      <c r="C25" s="12" t="s">
        <v>27</v>
      </c>
      <c r="D25" s="13" t="s">
        <v>82</v>
      </c>
      <c r="E25" s="131">
        <f>1000+1000+1000</f>
        <v>3000</v>
      </c>
      <c r="F25" s="131"/>
      <c r="G25" s="131"/>
      <c r="H25" s="131">
        <v>1000</v>
      </c>
      <c r="I25" s="207">
        <f t="shared" si="0"/>
        <v>4000</v>
      </c>
      <c r="J25" s="131">
        <v>20000</v>
      </c>
      <c r="K25" s="131"/>
      <c r="L25" s="131">
        <v>3000</v>
      </c>
      <c r="M25" s="227">
        <f t="shared" si="1"/>
        <v>27000</v>
      </c>
      <c r="N25" s="185"/>
      <c r="O25" s="124">
        <v>508.75</v>
      </c>
      <c r="P25" s="214">
        <v>540</v>
      </c>
      <c r="Q25" s="214">
        <v>570</v>
      </c>
      <c r="R25" s="172">
        <v>200</v>
      </c>
      <c r="S25" s="210">
        <f t="shared" si="2"/>
        <v>25181.25</v>
      </c>
    </row>
    <row r="26" spans="1:19" x14ac:dyDescent="0.25">
      <c r="A26" s="133" t="s">
        <v>83</v>
      </c>
      <c r="B26" s="20" t="s">
        <v>84</v>
      </c>
      <c r="C26" s="12" t="s">
        <v>27</v>
      </c>
      <c r="D26" s="13" t="s">
        <v>354</v>
      </c>
      <c r="E26" s="131">
        <f>2000+1000+1000</f>
        <v>4000</v>
      </c>
      <c r="F26" s="131"/>
      <c r="G26" s="131"/>
      <c r="H26" s="131">
        <v>1000</v>
      </c>
      <c r="I26" s="207">
        <f t="shared" si="0"/>
        <v>5000</v>
      </c>
      <c r="J26" s="131">
        <v>20000</v>
      </c>
      <c r="K26" s="131"/>
      <c r="L26" s="131">
        <v>3000</v>
      </c>
      <c r="M26" s="227">
        <f t="shared" si="1"/>
        <v>28000</v>
      </c>
      <c r="N26" s="185"/>
      <c r="O26" s="124">
        <v>550</v>
      </c>
      <c r="P26" s="214">
        <v>540</v>
      </c>
      <c r="Q26" s="214">
        <v>660</v>
      </c>
      <c r="R26" s="172">
        <v>200</v>
      </c>
      <c r="S26" s="210">
        <f t="shared" si="2"/>
        <v>26050</v>
      </c>
    </row>
    <row r="27" spans="1:19" x14ac:dyDescent="0.25">
      <c r="A27" s="133" t="s">
        <v>86</v>
      </c>
      <c r="B27" s="12" t="s">
        <v>87</v>
      </c>
      <c r="C27" s="12" t="s">
        <v>34</v>
      </c>
      <c r="D27" s="13" t="s">
        <v>88</v>
      </c>
      <c r="E27" s="131"/>
      <c r="F27" s="131"/>
      <c r="G27" s="131"/>
      <c r="H27" s="131"/>
      <c r="I27" s="207">
        <f t="shared" si="0"/>
        <v>0</v>
      </c>
      <c r="J27" s="131">
        <v>10300</v>
      </c>
      <c r="K27" s="131"/>
      <c r="L27" s="131"/>
      <c r="M27" s="227">
        <f t="shared" si="1"/>
        <v>10300</v>
      </c>
      <c r="N27" s="185"/>
      <c r="O27" s="124"/>
      <c r="P27" s="214">
        <v>0</v>
      </c>
      <c r="Q27" s="214">
        <v>0</v>
      </c>
      <c r="R27" s="172">
        <v>200</v>
      </c>
      <c r="S27" s="210">
        <f t="shared" si="2"/>
        <v>10100</v>
      </c>
    </row>
    <row r="28" spans="1:19" x14ac:dyDescent="0.25">
      <c r="A28" s="133" t="s">
        <v>89</v>
      </c>
      <c r="B28" s="12" t="s">
        <v>272</v>
      </c>
      <c r="C28" s="12" t="s">
        <v>27</v>
      </c>
      <c r="D28" s="13" t="s">
        <v>349</v>
      </c>
      <c r="E28" s="131">
        <v>2500</v>
      </c>
      <c r="F28" s="131">
        <v>2000</v>
      </c>
      <c r="G28" s="131">
        <v>2500</v>
      </c>
      <c r="H28" s="131">
        <v>2500</v>
      </c>
      <c r="I28" s="207">
        <f t="shared" si="0"/>
        <v>9500</v>
      </c>
      <c r="J28" s="131">
        <v>25000</v>
      </c>
      <c r="K28" s="131"/>
      <c r="L28" s="131">
        <v>5200</v>
      </c>
      <c r="M28" s="227">
        <f t="shared" si="1"/>
        <v>39700</v>
      </c>
      <c r="N28" s="185"/>
      <c r="O28" s="124">
        <v>500</v>
      </c>
      <c r="P28" s="214">
        <v>0</v>
      </c>
      <c r="Q28" s="214">
        <v>0</v>
      </c>
      <c r="R28" s="172">
        <v>200</v>
      </c>
      <c r="S28" s="210">
        <f t="shared" si="2"/>
        <v>39000</v>
      </c>
    </row>
    <row r="29" spans="1:19" x14ac:dyDescent="0.25">
      <c r="A29" s="133" t="s">
        <v>92</v>
      </c>
      <c r="B29" s="12" t="s">
        <v>99</v>
      </c>
      <c r="C29" s="12" t="s">
        <v>27</v>
      </c>
      <c r="D29" s="13" t="s">
        <v>352</v>
      </c>
      <c r="E29" s="131">
        <f>500+500</f>
        <v>1000</v>
      </c>
      <c r="F29" s="131">
        <f>500+500</f>
        <v>1000</v>
      </c>
      <c r="G29" s="131">
        <v>500</v>
      </c>
      <c r="H29" s="131">
        <v>500</v>
      </c>
      <c r="I29" s="207">
        <f t="shared" si="0"/>
        <v>3000</v>
      </c>
      <c r="J29" s="131">
        <v>20000</v>
      </c>
      <c r="K29" s="131"/>
      <c r="L29" s="131">
        <v>7350</v>
      </c>
      <c r="M29" s="227">
        <f t="shared" si="1"/>
        <v>30350</v>
      </c>
      <c r="N29" s="185"/>
      <c r="O29" s="124">
        <v>495</v>
      </c>
      <c r="P29" s="214">
        <v>540</v>
      </c>
      <c r="Q29" s="214">
        <v>540</v>
      </c>
      <c r="R29" s="172">
        <v>200</v>
      </c>
      <c r="S29" s="210">
        <f t="shared" si="2"/>
        <v>28575</v>
      </c>
    </row>
    <row r="30" spans="1:19" x14ac:dyDescent="0.25">
      <c r="A30" s="133" t="s">
        <v>95</v>
      </c>
      <c r="B30" s="12" t="s">
        <v>232</v>
      </c>
      <c r="C30" s="12" t="s">
        <v>27</v>
      </c>
      <c r="D30" s="13" t="s">
        <v>365</v>
      </c>
      <c r="E30" s="131">
        <v>2500</v>
      </c>
      <c r="F30" s="131">
        <v>2000</v>
      </c>
      <c r="G30" s="131">
        <v>2500</v>
      </c>
      <c r="H30" s="131">
        <v>3000</v>
      </c>
      <c r="I30" s="207">
        <f t="shared" si="0"/>
        <v>10000</v>
      </c>
      <c r="J30" s="131">
        <v>20000</v>
      </c>
      <c r="K30" s="131"/>
      <c r="L30" s="131">
        <v>5500</v>
      </c>
      <c r="M30" s="227">
        <f t="shared" si="1"/>
        <v>35500</v>
      </c>
      <c r="N30" s="185"/>
      <c r="O30" s="124">
        <v>550</v>
      </c>
      <c r="P30" s="214">
        <v>0</v>
      </c>
      <c r="Q30" s="214">
        <v>0</v>
      </c>
      <c r="R30" s="172">
        <v>200</v>
      </c>
      <c r="S30" s="210">
        <f t="shared" si="2"/>
        <v>34750</v>
      </c>
    </row>
    <row r="31" spans="1:19" x14ac:dyDescent="0.25">
      <c r="A31" s="133" t="s">
        <v>98</v>
      </c>
      <c r="B31" s="12" t="s">
        <v>105</v>
      </c>
      <c r="C31" s="12" t="s">
        <v>27</v>
      </c>
      <c r="D31" s="13" t="s">
        <v>350</v>
      </c>
      <c r="E31" s="131">
        <f>1000+1000+1000</f>
        <v>3000</v>
      </c>
      <c r="F31" s="131"/>
      <c r="G31" s="131"/>
      <c r="H31" s="131"/>
      <c r="I31" s="207">
        <f t="shared" si="0"/>
        <v>3000</v>
      </c>
      <c r="J31" s="131">
        <v>20000</v>
      </c>
      <c r="K31" s="131"/>
      <c r="L31" s="131">
        <v>1400</v>
      </c>
      <c r="M31" s="227">
        <f t="shared" si="1"/>
        <v>24400</v>
      </c>
      <c r="N31" s="185"/>
      <c r="O31" s="124">
        <v>495</v>
      </c>
      <c r="P31" s="214">
        <v>540</v>
      </c>
      <c r="Q31" s="214">
        <v>540</v>
      </c>
      <c r="R31" s="172">
        <v>200</v>
      </c>
      <c r="S31" s="210">
        <f t="shared" si="2"/>
        <v>22625</v>
      </c>
    </row>
    <row r="32" spans="1:19" x14ac:dyDescent="0.25">
      <c r="A32" s="133" t="s">
        <v>101</v>
      </c>
      <c r="B32" s="12" t="s">
        <v>108</v>
      </c>
      <c r="C32" s="12" t="s">
        <v>27</v>
      </c>
      <c r="D32" s="13" t="s">
        <v>333</v>
      </c>
      <c r="E32" s="131"/>
      <c r="F32" s="131"/>
      <c r="G32" s="131"/>
      <c r="H32" s="131"/>
      <c r="I32" s="207">
        <f t="shared" si="0"/>
        <v>0</v>
      </c>
      <c r="J32" s="131">
        <v>20000</v>
      </c>
      <c r="K32" s="131"/>
      <c r="L32" s="131">
        <v>7500</v>
      </c>
      <c r="M32" s="227">
        <f t="shared" si="1"/>
        <v>27500</v>
      </c>
      <c r="N32" s="185">
        <v>3000</v>
      </c>
      <c r="O32" s="124">
        <v>550</v>
      </c>
      <c r="P32" s="214">
        <v>540</v>
      </c>
      <c r="Q32" s="214">
        <v>660</v>
      </c>
      <c r="R32" s="172">
        <v>200</v>
      </c>
      <c r="S32" s="210">
        <f t="shared" si="2"/>
        <v>22550</v>
      </c>
    </row>
    <row r="33" spans="1:19" x14ac:dyDescent="0.25">
      <c r="A33" s="133" t="s">
        <v>104</v>
      </c>
      <c r="B33" s="12" t="s">
        <v>111</v>
      </c>
      <c r="C33" s="12" t="s">
        <v>19</v>
      </c>
      <c r="D33" s="13" t="s">
        <v>112</v>
      </c>
      <c r="E33" s="131"/>
      <c r="F33" s="131"/>
      <c r="G33" s="131"/>
      <c r="H33" s="131"/>
      <c r="I33" s="207">
        <f t="shared" si="0"/>
        <v>0</v>
      </c>
      <c r="J33" s="131">
        <v>30000</v>
      </c>
      <c r="K33" s="131"/>
      <c r="L33" s="131"/>
      <c r="M33" s="227">
        <f t="shared" si="1"/>
        <v>30000</v>
      </c>
      <c r="N33" s="185">
        <v>2000</v>
      </c>
      <c r="O33" s="124">
        <v>605</v>
      </c>
      <c r="P33" s="214"/>
      <c r="Q33" s="214"/>
      <c r="R33" s="172"/>
      <c r="S33" s="210">
        <f t="shared" si="2"/>
        <v>27395</v>
      </c>
    </row>
    <row r="34" spans="1:19" x14ac:dyDescent="0.25">
      <c r="A34" s="133" t="s">
        <v>107</v>
      </c>
      <c r="B34" s="20" t="s">
        <v>114</v>
      </c>
      <c r="C34" s="12" t="s">
        <v>27</v>
      </c>
      <c r="D34" s="188" t="s">
        <v>362</v>
      </c>
      <c r="E34" s="189"/>
      <c r="F34" s="189"/>
      <c r="G34" s="131"/>
      <c r="H34" s="131">
        <f>1000+1000+1000</f>
        <v>3000</v>
      </c>
      <c r="I34" s="207">
        <f t="shared" si="0"/>
        <v>3000</v>
      </c>
      <c r="J34" s="131">
        <v>30000</v>
      </c>
      <c r="K34" s="131"/>
      <c r="L34" s="131">
        <v>2700</v>
      </c>
      <c r="M34" s="227">
        <f>I34+J34+K34+L34</f>
        <v>35700</v>
      </c>
      <c r="N34" s="185"/>
      <c r="O34" s="124">
        <v>550</v>
      </c>
      <c r="P34" s="214">
        <v>540</v>
      </c>
      <c r="Q34" s="214">
        <v>660</v>
      </c>
      <c r="R34" s="172">
        <v>200</v>
      </c>
      <c r="S34" s="210">
        <f t="shared" si="2"/>
        <v>33750</v>
      </c>
    </row>
    <row r="35" spans="1:19" x14ac:dyDescent="0.25">
      <c r="A35" s="133" t="s">
        <v>110</v>
      </c>
      <c r="B35" s="20" t="s">
        <v>118</v>
      </c>
      <c r="C35" s="12" t="s">
        <v>27</v>
      </c>
      <c r="D35" s="118" t="s">
        <v>374</v>
      </c>
      <c r="E35" s="145">
        <v>2500</v>
      </c>
      <c r="F35" s="145">
        <v>1500</v>
      </c>
      <c r="G35" s="131">
        <v>2500</v>
      </c>
      <c r="H35" s="131">
        <v>3500</v>
      </c>
      <c r="I35" s="207">
        <f>SUM(E35:H35)</f>
        <v>10000</v>
      </c>
      <c r="J35" s="131">
        <v>25000</v>
      </c>
      <c r="K35" s="131"/>
      <c r="L35" s="131">
        <v>4500</v>
      </c>
      <c r="M35" s="227">
        <f t="shared" si="1"/>
        <v>39500</v>
      </c>
      <c r="N35" s="185"/>
      <c r="O35" s="124">
        <v>550</v>
      </c>
      <c r="P35" s="214"/>
      <c r="Q35" s="214"/>
      <c r="R35" s="172">
        <v>200</v>
      </c>
      <c r="S35" s="210">
        <f t="shared" si="2"/>
        <v>38750</v>
      </c>
    </row>
    <row r="36" spans="1:19" x14ac:dyDescent="0.25">
      <c r="A36" s="133" t="s">
        <v>113</v>
      </c>
      <c r="B36" s="20" t="s">
        <v>159</v>
      </c>
      <c r="C36" s="12" t="s">
        <v>27</v>
      </c>
      <c r="D36" s="118" t="s">
        <v>353</v>
      </c>
      <c r="E36" s="145"/>
      <c r="F36" s="145"/>
      <c r="G36" s="131"/>
      <c r="H36" s="131"/>
      <c r="I36" s="207">
        <f t="shared" si="0"/>
        <v>0</v>
      </c>
      <c r="J36" s="131">
        <v>20000</v>
      </c>
      <c r="K36" s="131"/>
      <c r="L36" s="131">
        <v>2800</v>
      </c>
      <c r="M36" s="227">
        <f t="shared" si="1"/>
        <v>22800</v>
      </c>
      <c r="N36" s="185"/>
      <c r="O36" s="124">
        <v>495</v>
      </c>
      <c r="P36" s="214">
        <v>540</v>
      </c>
      <c r="Q36" s="214">
        <v>540</v>
      </c>
      <c r="R36" s="172">
        <v>200</v>
      </c>
      <c r="S36" s="210">
        <f t="shared" si="2"/>
        <v>21025</v>
      </c>
    </row>
    <row r="37" spans="1:19" x14ac:dyDescent="0.25">
      <c r="A37" s="133" t="s">
        <v>117</v>
      </c>
      <c r="B37" s="20" t="s">
        <v>121</v>
      </c>
      <c r="C37" s="12" t="s">
        <v>23</v>
      </c>
      <c r="D37" s="118" t="s">
        <v>122</v>
      </c>
      <c r="E37" s="145">
        <f>500+500</f>
        <v>1000</v>
      </c>
      <c r="F37" s="145"/>
      <c r="G37" s="131"/>
      <c r="H37" s="131"/>
      <c r="I37" s="207">
        <f t="shared" si="0"/>
        <v>1000</v>
      </c>
      <c r="J37" s="131">
        <v>25000</v>
      </c>
      <c r="K37" s="131"/>
      <c r="L37" s="131">
        <v>6000</v>
      </c>
      <c r="M37" s="227">
        <f t="shared" si="1"/>
        <v>32000</v>
      </c>
      <c r="N37" s="185"/>
      <c r="O37" s="124">
        <v>550</v>
      </c>
      <c r="P37" s="214">
        <v>540</v>
      </c>
      <c r="Q37" s="214">
        <v>660</v>
      </c>
      <c r="R37" s="172">
        <v>200</v>
      </c>
      <c r="S37" s="210">
        <f t="shared" si="2"/>
        <v>30050</v>
      </c>
    </row>
    <row r="38" spans="1:19" x14ac:dyDescent="0.25">
      <c r="A38" s="133" t="s">
        <v>119</v>
      </c>
      <c r="B38" s="20" t="s">
        <v>326</v>
      </c>
      <c r="C38" s="12" t="s">
        <v>27</v>
      </c>
      <c r="D38" s="118" t="s">
        <v>345</v>
      </c>
      <c r="E38" s="145">
        <f>1000+1000+1000+500</f>
        <v>3500</v>
      </c>
      <c r="F38" s="145"/>
      <c r="G38" s="131"/>
      <c r="H38" s="131">
        <f>1000+1000</f>
        <v>2000</v>
      </c>
      <c r="I38" s="207">
        <f t="shared" si="0"/>
        <v>5500</v>
      </c>
      <c r="J38" s="131">
        <v>20000</v>
      </c>
      <c r="K38" s="131"/>
      <c r="L38" s="131">
        <v>4500</v>
      </c>
      <c r="M38" s="227">
        <f t="shared" si="1"/>
        <v>30000</v>
      </c>
      <c r="N38" s="185"/>
      <c r="O38" s="124">
        <v>550</v>
      </c>
      <c r="P38" s="214">
        <v>540</v>
      </c>
      <c r="Q38" s="214">
        <v>660</v>
      </c>
      <c r="R38" s="172">
        <v>200</v>
      </c>
      <c r="S38" s="210">
        <f t="shared" si="2"/>
        <v>28050</v>
      </c>
    </row>
    <row r="39" spans="1:19" x14ac:dyDescent="0.25">
      <c r="A39" s="133" t="s">
        <v>120</v>
      </c>
      <c r="B39" s="12" t="s">
        <v>127</v>
      </c>
      <c r="C39" s="12" t="s">
        <v>27</v>
      </c>
      <c r="D39" s="118" t="s">
        <v>128</v>
      </c>
      <c r="E39" s="145">
        <v>1000</v>
      </c>
      <c r="F39" s="145">
        <v>1000</v>
      </c>
      <c r="G39" s="131">
        <v>1000</v>
      </c>
      <c r="H39" s="131">
        <f>1000+1000</f>
        <v>2000</v>
      </c>
      <c r="I39" s="207">
        <f t="shared" si="0"/>
        <v>5000</v>
      </c>
      <c r="J39" s="131">
        <v>20000</v>
      </c>
      <c r="K39" s="131"/>
      <c r="L39" s="131">
        <v>7500</v>
      </c>
      <c r="M39" s="227">
        <f t="shared" si="1"/>
        <v>32500</v>
      </c>
      <c r="N39" s="185"/>
      <c r="O39" s="124">
        <v>495</v>
      </c>
      <c r="P39" s="214">
        <v>540</v>
      </c>
      <c r="Q39" s="214">
        <v>540</v>
      </c>
      <c r="R39" s="172">
        <v>200</v>
      </c>
      <c r="S39" s="210">
        <f t="shared" si="2"/>
        <v>30725</v>
      </c>
    </row>
    <row r="40" spans="1:19" x14ac:dyDescent="0.25">
      <c r="A40" s="133" t="s">
        <v>123</v>
      </c>
      <c r="B40" s="12" t="s">
        <v>175</v>
      </c>
      <c r="C40" s="12" t="s">
        <v>34</v>
      </c>
      <c r="D40" s="13" t="s">
        <v>161</v>
      </c>
      <c r="E40" s="131">
        <f>1000+1000+1000</f>
        <v>3000</v>
      </c>
      <c r="F40" s="131">
        <v>1000</v>
      </c>
      <c r="G40" s="131">
        <v>1000</v>
      </c>
      <c r="H40" s="131">
        <f>1000+1000+1000</f>
        <v>3000</v>
      </c>
      <c r="I40" s="207">
        <f t="shared" si="0"/>
        <v>8000</v>
      </c>
      <c r="J40" s="131">
        <v>35000</v>
      </c>
      <c r="K40" s="131"/>
      <c r="L40" s="131">
        <v>5500</v>
      </c>
      <c r="M40" s="227">
        <f t="shared" si="1"/>
        <v>48500</v>
      </c>
      <c r="N40" s="185"/>
      <c r="O40" s="124">
        <v>550</v>
      </c>
      <c r="P40" s="214">
        <v>540</v>
      </c>
      <c r="Q40" s="214">
        <v>660</v>
      </c>
      <c r="R40" s="172">
        <v>200</v>
      </c>
      <c r="S40" s="210">
        <f t="shared" si="2"/>
        <v>46550</v>
      </c>
    </row>
    <row r="41" spans="1:19" x14ac:dyDescent="0.25">
      <c r="A41" s="133" t="s">
        <v>126</v>
      </c>
      <c r="B41" s="12" t="s">
        <v>176</v>
      </c>
      <c r="C41" s="12" t="s">
        <v>27</v>
      </c>
      <c r="D41" s="13" t="s">
        <v>337</v>
      </c>
      <c r="E41" s="131">
        <f>500+500</f>
        <v>1000</v>
      </c>
      <c r="F41" s="131">
        <v>500</v>
      </c>
      <c r="G41" s="131">
        <v>500</v>
      </c>
      <c r="H41" s="131"/>
      <c r="I41" s="207">
        <f t="shared" si="0"/>
        <v>2000</v>
      </c>
      <c r="J41" s="131">
        <v>20000</v>
      </c>
      <c r="K41" s="131"/>
      <c r="L41" s="131">
        <v>7500</v>
      </c>
      <c r="M41" s="227">
        <f t="shared" si="1"/>
        <v>29500</v>
      </c>
      <c r="N41" s="185"/>
      <c r="O41" s="124">
        <v>495</v>
      </c>
      <c r="P41" s="214">
        <v>540</v>
      </c>
      <c r="Q41" s="214">
        <v>540</v>
      </c>
      <c r="R41" s="172">
        <v>200</v>
      </c>
      <c r="S41" s="210">
        <f t="shared" si="2"/>
        <v>27725</v>
      </c>
    </row>
    <row r="42" spans="1:19" x14ac:dyDescent="0.25">
      <c r="A42" s="133" t="s">
        <v>129</v>
      </c>
      <c r="B42" s="12" t="s">
        <v>228</v>
      </c>
      <c r="C42" s="12" t="s">
        <v>34</v>
      </c>
      <c r="D42" s="13" t="s">
        <v>183</v>
      </c>
      <c r="E42" s="131">
        <f>500+1000</f>
        <v>1500</v>
      </c>
      <c r="F42" s="131">
        <v>2000</v>
      </c>
      <c r="G42" s="131">
        <v>1500</v>
      </c>
      <c r="H42" s="131">
        <v>2500</v>
      </c>
      <c r="I42" s="207">
        <f t="shared" si="0"/>
        <v>7500</v>
      </c>
      <c r="J42" s="131">
        <v>25000</v>
      </c>
      <c r="K42" s="131"/>
      <c r="L42" s="131">
        <v>5150</v>
      </c>
      <c r="M42" s="227">
        <f t="shared" si="1"/>
        <v>37650</v>
      </c>
      <c r="N42" s="185"/>
      <c r="O42" s="124">
        <v>550</v>
      </c>
      <c r="P42" s="214">
        <v>540</v>
      </c>
      <c r="Q42" s="214">
        <v>660</v>
      </c>
      <c r="R42" s="172">
        <v>200</v>
      </c>
      <c r="S42" s="210">
        <f t="shared" si="2"/>
        <v>35700</v>
      </c>
    </row>
    <row r="43" spans="1:19" x14ac:dyDescent="0.25">
      <c r="A43" s="133" t="s">
        <v>132</v>
      </c>
      <c r="B43" s="12" t="s">
        <v>221</v>
      </c>
      <c r="C43" s="12" t="s">
        <v>27</v>
      </c>
      <c r="D43" s="13" t="s">
        <v>334</v>
      </c>
      <c r="E43" s="131">
        <v>1000</v>
      </c>
      <c r="F43" s="131">
        <v>1000</v>
      </c>
      <c r="G43" s="131">
        <v>1000</v>
      </c>
      <c r="H43" s="131">
        <v>1000</v>
      </c>
      <c r="I43" s="207">
        <f t="shared" si="0"/>
        <v>4000</v>
      </c>
      <c r="J43" s="131">
        <v>20000</v>
      </c>
      <c r="K43" s="131"/>
      <c r="L43" s="131">
        <v>7500</v>
      </c>
      <c r="M43" s="227">
        <f t="shared" si="1"/>
        <v>31500</v>
      </c>
      <c r="N43" s="185"/>
      <c r="O43" s="124">
        <v>495</v>
      </c>
      <c r="P43" s="214">
        <v>540</v>
      </c>
      <c r="Q43" s="214">
        <v>540</v>
      </c>
      <c r="R43" s="172">
        <v>200</v>
      </c>
      <c r="S43" s="210">
        <f t="shared" si="2"/>
        <v>29725</v>
      </c>
    </row>
    <row r="44" spans="1:19" x14ac:dyDescent="0.25">
      <c r="A44" s="133" t="s">
        <v>160</v>
      </c>
      <c r="B44" s="12" t="s">
        <v>225</v>
      </c>
      <c r="C44" s="12" t="s">
        <v>27</v>
      </c>
      <c r="D44" s="13" t="s">
        <v>296</v>
      </c>
      <c r="E44" s="131">
        <f>1000+1000+1000+500</f>
        <v>3500</v>
      </c>
      <c r="F44" s="131"/>
      <c r="G44" s="131"/>
      <c r="H44" s="131">
        <v>1000</v>
      </c>
      <c r="I44" s="207">
        <f t="shared" si="0"/>
        <v>4500</v>
      </c>
      <c r="J44" s="131">
        <v>25000</v>
      </c>
      <c r="K44" s="131"/>
      <c r="L44" s="131">
        <v>2900</v>
      </c>
      <c r="M44" s="227">
        <f t="shared" si="1"/>
        <v>32400</v>
      </c>
      <c r="N44" s="185"/>
      <c r="O44" s="124">
        <v>660</v>
      </c>
      <c r="P44" s="214">
        <v>540</v>
      </c>
      <c r="Q44" s="214">
        <v>900</v>
      </c>
      <c r="R44" s="172">
        <v>200</v>
      </c>
      <c r="S44" s="210">
        <f t="shared" si="2"/>
        <v>30100</v>
      </c>
    </row>
    <row r="45" spans="1:19" x14ac:dyDescent="0.25">
      <c r="A45" s="133" t="s">
        <v>162</v>
      </c>
      <c r="B45" s="12" t="s">
        <v>257</v>
      </c>
      <c r="C45" s="12" t="s">
        <v>27</v>
      </c>
      <c r="D45" s="13" t="s">
        <v>346</v>
      </c>
      <c r="E45" s="131"/>
      <c r="F45" s="131"/>
      <c r="G45" s="131"/>
      <c r="H45" s="131">
        <f>1000+1000+1000</f>
        <v>3000</v>
      </c>
      <c r="I45" s="207">
        <f t="shared" si="0"/>
        <v>3000</v>
      </c>
      <c r="J45" s="131">
        <v>25000</v>
      </c>
      <c r="K45" s="131"/>
      <c r="L45" s="131">
        <v>4500</v>
      </c>
      <c r="M45" s="227">
        <f t="shared" si="1"/>
        <v>32500</v>
      </c>
      <c r="N45" s="185"/>
      <c r="O45" s="124">
        <v>550</v>
      </c>
      <c r="P45" s="214">
        <v>540</v>
      </c>
      <c r="Q45" s="214">
        <v>660</v>
      </c>
      <c r="R45" s="172">
        <v>200</v>
      </c>
      <c r="S45" s="210">
        <f t="shared" si="2"/>
        <v>30550</v>
      </c>
    </row>
    <row r="46" spans="1:19" x14ac:dyDescent="0.25">
      <c r="A46" s="133" t="s">
        <v>181</v>
      </c>
      <c r="B46" s="12" t="s">
        <v>275</v>
      </c>
      <c r="C46" s="12" t="s">
        <v>23</v>
      </c>
      <c r="D46" s="13" t="s">
        <v>277</v>
      </c>
      <c r="E46" s="131">
        <v>1000</v>
      </c>
      <c r="F46" s="131">
        <v>1000</v>
      </c>
      <c r="G46" s="131">
        <v>1000</v>
      </c>
      <c r="H46" s="131">
        <v>1000</v>
      </c>
      <c r="I46" s="207">
        <f t="shared" si="0"/>
        <v>4000</v>
      </c>
      <c r="J46" s="131">
        <v>20000</v>
      </c>
      <c r="K46" s="131"/>
      <c r="L46" s="131">
        <v>5500</v>
      </c>
      <c r="M46" s="227">
        <f t="shared" si="1"/>
        <v>29500</v>
      </c>
      <c r="N46" s="185"/>
      <c r="O46" s="124">
        <v>500</v>
      </c>
      <c r="P46" s="219"/>
      <c r="Q46" s="214"/>
      <c r="R46" s="172">
        <v>200</v>
      </c>
      <c r="S46" s="210">
        <f t="shared" si="2"/>
        <v>28800</v>
      </c>
    </row>
    <row r="47" spans="1:19" x14ac:dyDescent="0.25">
      <c r="A47" s="133" t="s">
        <v>217</v>
      </c>
      <c r="B47" s="12" t="s">
        <v>286</v>
      </c>
      <c r="C47" s="12" t="s">
        <v>56</v>
      </c>
      <c r="D47" s="13" t="s">
        <v>282</v>
      </c>
      <c r="E47" s="131"/>
      <c r="F47" s="131"/>
      <c r="G47" s="131"/>
      <c r="H47" s="131"/>
      <c r="I47" s="207">
        <f t="shared" si="0"/>
        <v>0</v>
      </c>
      <c r="J47" s="131">
        <v>20000</v>
      </c>
      <c r="K47" s="131"/>
      <c r="L47" s="131"/>
      <c r="M47" s="227">
        <f t="shared" si="1"/>
        <v>20000</v>
      </c>
      <c r="N47" s="185"/>
      <c r="O47" s="124">
        <v>500</v>
      </c>
      <c r="P47" s="214"/>
      <c r="Q47" s="214"/>
      <c r="R47" s="172">
        <v>200</v>
      </c>
      <c r="S47" s="210">
        <f t="shared" si="2"/>
        <v>19300</v>
      </c>
    </row>
    <row r="48" spans="1:19" x14ac:dyDescent="0.25">
      <c r="A48" s="133" t="s">
        <v>220</v>
      </c>
      <c r="B48" s="12" t="s">
        <v>298</v>
      </c>
      <c r="C48" s="12" t="s">
        <v>27</v>
      </c>
      <c r="D48" s="13" t="s">
        <v>302</v>
      </c>
      <c r="E48" s="131"/>
      <c r="F48" s="131"/>
      <c r="G48" s="131"/>
      <c r="H48" s="131"/>
      <c r="I48" s="207">
        <f t="shared" si="0"/>
        <v>0</v>
      </c>
      <c r="J48" s="131">
        <v>20000</v>
      </c>
      <c r="K48" s="131"/>
      <c r="L48" s="131">
        <v>7500</v>
      </c>
      <c r="M48" s="227">
        <f t="shared" si="1"/>
        <v>27500</v>
      </c>
      <c r="N48" s="185"/>
      <c r="O48" s="124">
        <v>500</v>
      </c>
      <c r="P48" s="214"/>
      <c r="Q48" s="214"/>
      <c r="R48" s="172">
        <v>200</v>
      </c>
      <c r="S48" s="210">
        <f t="shared" si="2"/>
        <v>26800</v>
      </c>
    </row>
    <row r="49" spans="1:19" x14ac:dyDescent="0.25">
      <c r="A49" s="133" t="s">
        <v>223</v>
      </c>
      <c r="B49" s="12" t="s">
        <v>299</v>
      </c>
      <c r="C49" s="12" t="s">
        <v>27</v>
      </c>
      <c r="D49" s="13" t="s">
        <v>375</v>
      </c>
      <c r="E49" s="131">
        <f>1000+1000+1000+500+500</f>
        <v>4000</v>
      </c>
      <c r="F49" s="131"/>
      <c r="G49" s="131"/>
      <c r="H49" s="131">
        <f>1000+1000</f>
        <v>2000</v>
      </c>
      <c r="I49" s="207">
        <f t="shared" si="0"/>
        <v>6000</v>
      </c>
      <c r="J49" s="131">
        <v>20000</v>
      </c>
      <c r="K49" s="131"/>
      <c r="L49" s="131">
        <v>3000</v>
      </c>
      <c r="M49" s="227">
        <f t="shared" si="1"/>
        <v>29000</v>
      </c>
      <c r="N49" s="185"/>
      <c r="O49" s="124">
        <v>500</v>
      </c>
      <c r="P49" s="214"/>
      <c r="Q49" s="214"/>
      <c r="R49" s="172">
        <v>200</v>
      </c>
      <c r="S49" s="210">
        <f t="shared" si="2"/>
        <v>28300</v>
      </c>
    </row>
    <row r="50" spans="1:19" x14ac:dyDescent="0.25">
      <c r="A50" s="133" t="s">
        <v>227</v>
      </c>
      <c r="B50" s="12" t="s">
        <v>328</v>
      </c>
      <c r="C50" s="20" t="s">
        <v>19</v>
      </c>
      <c r="D50" s="178" t="s">
        <v>329</v>
      </c>
      <c r="E50" s="131"/>
      <c r="F50" s="131"/>
      <c r="G50" s="131"/>
      <c r="H50" s="131"/>
      <c r="I50" s="207">
        <f t="shared" si="0"/>
        <v>0</v>
      </c>
      <c r="J50" s="131">
        <v>20000</v>
      </c>
      <c r="K50" s="131"/>
      <c r="L50" s="131">
        <v>15000</v>
      </c>
      <c r="M50" s="227">
        <f t="shared" si="1"/>
        <v>35000</v>
      </c>
      <c r="N50" s="185"/>
      <c r="O50" s="124">
        <v>550</v>
      </c>
      <c r="P50" s="214">
        <v>540</v>
      </c>
      <c r="Q50" s="214">
        <v>660</v>
      </c>
      <c r="R50" s="172">
        <v>200</v>
      </c>
      <c r="S50" s="210">
        <f t="shared" si="2"/>
        <v>33050</v>
      </c>
    </row>
    <row r="51" spans="1:19" x14ac:dyDescent="0.25">
      <c r="A51" s="133" t="s">
        <v>278</v>
      </c>
      <c r="B51" s="12" t="s">
        <v>316</v>
      </c>
      <c r="C51" s="12" t="s">
        <v>27</v>
      </c>
      <c r="D51" s="13" t="s">
        <v>335</v>
      </c>
      <c r="E51" s="131">
        <f>1000+1000+1000</f>
        <v>3000</v>
      </c>
      <c r="F51" s="131"/>
      <c r="G51" s="131">
        <v>500</v>
      </c>
      <c r="H51" s="131">
        <f>1000+1000</f>
        <v>2000</v>
      </c>
      <c r="I51" s="207">
        <f t="shared" si="0"/>
        <v>5500</v>
      </c>
      <c r="J51" s="131">
        <v>20000</v>
      </c>
      <c r="K51" s="131"/>
      <c r="L51" s="131">
        <v>7500</v>
      </c>
      <c r="M51" s="227">
        <f t="shared" si="1"/>
        <v>33000</v>
      </c>
      <c r="N51" s="185"/>
      <c r="O51" s="124">
        <v>550</v>
      </c>
      <c r="P51" s="214">
        <v>540</v>
      </c>
      <c r="Q51" s="214">
        <v>660</v>
      </c>
      <c r="R51" s="172">
        <v>200</v>
      </c>
      <c r="S51" s="210">
        <f t="shared" si="2"/>
        <v>31050</v>
      </c>
    </row>
    <row r="52" spans="1:19" x14ac:dyDescent="0.25">
      <c r="A52" s="133" t="s">
        <v>279</v>
      </c>
      <c r="B52" s="12" t="s">
        <v>320</v>
      </c>
      <c r="C52" s="12" t="s">
        <v>19</v>
      </c>
      <c r="D52" s="13" t="s">
        <v>321</v>
      </c>
      <c r="E52" s="131">
        <f>1000+1000+1000+500</f>
        <v>3500</v>
      </c>
      <c r="F52" s="131"/>
      <c r="G52" s="131"/>
      <c r="H52" s="131">
        <v>1000</v>
      </c>
      <c r="I52" s="207">
        <f t="shared" si="0"/>
        <v>4500</v>
      </c>
      <c r="J52" s="131">
        <v>20000</v>
      </c>
      <c r="K52" s="131"/>
      <c r="L52" s="131">
        <v>3000</v>
      </c>
      <c r="M52" s="227">
        <f t="shared" si="1"/>
        <v>27500</v>
      </c>
      <c r="N52" s="185"/>
      <c r="O52" s="124">
        <v>550</v>
      </c>
      <c r="P52" s="214"/>
      <c r="Q52" s="214"/>
      <c r="R52" s="172">
        <v>200</v>
      </c>
      <c r="S52" s="210">
        <f t="shared" si="2"/>
        <v>26750</v>
      </c>
    </row>
    <row r="53" spans="1:19" x14ac:dyDescent="0.25">
      <c r="A53" s="133" t="s">
        <v>313</v>
      </c>
      <c r="B53" s="12" t="s">
        <v>130</v>
      </c>
      <c r="C53" s="12"/>
      <c r="D53" s="13"/>
      <c r="E53" s="14"/>
      <c r="F53" s="14"/>
      <c r="G53" s="14"/>
      <c r="H53" s="14"/>
      <c r="I53" s="207">
        <f t="shared" si="0"/>
        <v>0</v>
      </c>
      <c r="J53" s="14">
        <v>100000</v>
      </c>
      <c r="K53" s="14"/>
      <c r="L53" s="14"/>
      <c r="M53" s="227">
        <f t="shared" si="1"/>
        <v>100000</v>
      </c>
      <c r="N53" s="27"/>
      <c r="O53" s="125">
        <v>1375</v>
      </c>
      <c r="P53" s="214"/>
      <c r="Q53" s="214"/>
      <c r="R53" s="172">
        <v>200</v>
      </c>
      <c r="S53" s="210">
        <f t="shared" si="2"/>
        <v>98425</v>
      </c>
    </row>
    <row r="54" spans="1:19" x14ac:dyDescent="0.25">
      <c r="A54" s="133" t="s">
        <v>314</v>
      </c>
      <c r="B54" s="12" t="s">
        <v>133</v>
      </c>
      <c r="C54" s="12"/>
      <c r="D54" s="53"/>
      <c r="E54" s="8"/>
      <c r="F54" s="8"/>
      <c r="G54" s="14"/>
      <c r="H54" s="14"/>
      <c r="I54" s="207">
        <f t="shared" si="0"/>
        <v>0</v>
      </c>
      <c r="J54" s="14">
        <v>150000</v>
      </c>
      <c r="K54" s="14"/>
      <c r="L54" s="14"/>
      <c r="M54" s="227">
        <f t="shared" si="1"/>
        <v>150000</v>
      </c>
      <c r="N54" s="27"/>
      <c r="O54" s="125">
        <v>2000</v>
      </c>
      <c r="P54" s="214"/>
      <c r="Q54" s="214"/>
      <c r="R54" s="172">
        <v>200</v>
      </c>
      <c r="S54" s="210">
        <f t="shared" si="2"/>
        <v>147800</v>
      </c>
    </row>
    <row r="55" spans="1:19" x14ac:dyDescent="0.25">
      <c r="A55" s="99"/>
      <c r="B55" s="2"/>
      <c r="C55" s="2"/>
      <c r="D55" s="53" t="s">
        <v>224</v>
      </c>
      <c r="E55" s="100">
        <f>SUM(E5:E54)</f>
        <v>59500</v>
      </c>
      <c r="F55" s="100">
        <f t="shared" ref="F55:H55" si="3">SUM(F5:F54)</f>
        <v>17500</v>
      </c>
      <c r="G55" s="100">
        <f t="shared" si="3"/>
        <v>18000</v>
      </c>
      <c r="H55" s="100">
        <f t="shared" si="3"/>
        <v>48500</v>
      </c>
      <c r="I55" s="206">
        <f t="shared" ref="I55:O55" si="4">SUM(I5:I54)</f>
        <v>143500</v>
      </c>
      <c r="J55" s="100">
        <f t="shared" si="4"/>
        <v>1428400</v>
      </c>
      <c r="K55" s="100"/>
      <c r="L55" s="100">
        <f>SUM(L5:L54)</f>
        <v>346950</v>
      </c>
      <c r="M55" s="227">
        <f t="shared" si="4"/>
        <v>1918850</v>
      </c>
      <c r="N55" s="224">
        <f t="shared" si="4"/>
        <v>5000</v>
      </c>
      <c r="O55" s="126">
        <f t="shared" si="4"/>
        <v>27173.75</v>
      </c>
      <c r="P55" s="215">
        <f t="shared" ref="P55:Q55" si="5">SUM(P5:P54)</f>
        <v>16200</v>
      </c>
      <c r="Q55" s="215">
        <f t="shared" si="5"/>
        <v>19590</v>
      </c>
      <c r="R55" s="174">
        <f>SUM(R5:R54)</f>
        <v>9800</v>
      </c>
      <c r="S55" s="211">
        <f>SUM(S5:S54)</f>
        <v>1841086.25</v>
      </c>
    </row>
    <row r="56" spans="1:19" x14ac:dyDescent="0.25">
      <c r="A56" s="11"/>
      <c r="B56" s="12"/>
      <c r="C56" s="12"/>
      <c r="D56" s="13"/>
      <c r="E56" s="14"/>
      <c r="F56" s="14"/>
      <c r="G56" s="14"/>
      <c r="H56" s="14"/>
      <c r="I56" s="207"/>
      <c r="J56" s="14"/>
      <c r="K56" s="14"/>
      <c r="L56" s="14"/>
      <c r="M56" s="227"/>
      <c r="N56" s="27"/>
      <c r="O56" s="125"/>
      <c r="P56" s="214"/>
      <c r="Q56" s="214"/>
      <c r="R56" s="173"/>
      <c r="S56" s="210"/>
    </row>
    <row r="57" spans="1:19" x14ac:dyDescent="0.25">
      <c r="A57" s="2" t="s">
        <v>135</v>
      </c>
      <c r="B57" s="2"/>
      <c r="C57" s="2"/>
      <c r="D57" s="2"/>
      <c r="E57" s="8"/>
      <c r="F57" s="8"/>
      <c r="G57" s="14"/>
      <c r="H57" s="14"/>
      <c r="I57" s="207"/>
      <c r="J57" s="14"/>
      <c r="K57" s="14"/>
      <c r="L57" s="14"/>
      <c r="M57" s="227"/>
      <c r="N57" s="225"/>
      <c r="O57" s="127"/>
      <c r="P57" s="215"/>
      <c r="Q57" s="215"/>
      <c r="R57" s="175"/>
      <c r="S57" s="210"/>
    </row>
    <row r="58" spans="1:19" x14ac:dyDescent="0.25">
      <c r="A58" s="20">
        <v>1</v>
      </c>
      <c r="B58" s="12" t="s">
        <v>274</v>
      </c>
      <c r="C58" s="12" t="s">
        <v>27</v>
      </c>
      <c r="D58" s="13" t="s">
        <v>338</v>
      </c>
      <c r="E58" s="14"/>
      <c r="F58" s="14"/>
      <c r="G58" s="14"/>
      <c r="H58" s="14"/>
      <c r="I58" s="207">
        <f t="shared" ref="I58:I63" si="6">SUM(G58:G58)</f>
        <v>0</v>
      </c>
      <c r="J58" s="14">
        <v>40000</v>
      </c>
      <c r="K58" s="14"/>
      <c r="L58" s="14"/>
      <c r="M58" s="227">
        <f>I58+J58+K58+L58</f>
        <v>40000</v>
      </c>
      <c r="N58" s="27"/>
      <c r="O58" s="125">
        <v>550</v>
      </c>
      <c r="P58" s="214">
        <v>540</v>
      </c>
      <c r="Q58" s="214">
        <v>660</v>
      </c>
      <c r="R58" s="173">
        <v>200</v>
      </c>
      <c r="S58" s="210">
        <f>M58-N58-O58-P58-Q58-R58</f>
        <v>38050</v>
      </c>
    </row>
    <row r="59" spans="1:19" x14ac:dyDescent="0.25">
      <c r="A59" s="20">
        <v>2</v>
      </c>
      <c r="B59" s="12" t="s">
        <v>273</v>
      </c>
      <c r="C59" s="12" t="s">
        <v>27</v>
      </c>
      <c r="D59" s="13" t="s">
        <v>340</v>
      </c>
      <c r="E59" s="14"/>
      <c r="F59" s="14"/>
      <c r="G59" s="14"/>
      <c r="H59" s="14"/>
      <c r="I59" s="207">
        <f t="shared" si="6"/>
        <v>0</v>
      </c>
      <c r="J59" s="14">
        <v>25000</v>
      </c>
      <c r="K59" s="14"/>
      <c r="L59" s="14"/>
      <c r="M59" s="227">
        <f t="shared" ref="M59:M62" si="7">I59+J59+K59+L59</f>
        <v>25000</v>
      </c>
      <c r="N59" s="27"/>
      <c r="O59" s="125">
        <v>550</v>
      </c>
      <c r="P59" s="214">
        <v>540</v>
      </c>
      <c r="Q59" s="214">
        <v>660</v>
      </c>
      <c r="R59" s="173">
        <v>200</v>
      </c>
      <c r="S59" s="210">
        <f t="shared" ref="S59:S62" si="8">M59-N59-O59-P59-Q59-R59</f>
        <v>23050</v>
      </c>
    </row>
    <row r="60" spans="1:19" x14ac:dyDescent="0.25">
      <c r="A60" s="20">
        <v>3</v>
      </c>
      <c r="B60" s="12" t="s">
        <v>307</v>
      </c>
      <c r="C60" s="64" t="s">
        <v>27</v>
      </c>
      <c r="D60" s="13" t="s">
        <v>339</v>
      </c>
      <c r="E60" s="131"/>
      <c r="F60" s="131"/>
      <c r="G60" s="131"/>
      <c r="H60" s="131"/>
      <c r="I60" s="207">
        <f t="shared" si="6"/>
        <v>0</v>
      </c>
      <c r="J60" s="131">
        <v>30000</v>
      </c>
      <c r="K60" s="131"/>
      <c r="L60" s="131"/>
      <c r="M60" s="227">
        <f t="shared" si="7"/>
        <v>30000</v>
      </c>
      <c r="N60" s="185"/>
      <c r="O60" s="124">
        <v>550</v>
      </c>
      <c r="P60" s="214">
        <v>540</v>
      </c>
      <c r="Q60" s="214">
        <v>660</v>
      </c>
      <c r="R60" s="173">
        <v>200</v>
      </c>
      <c r="S60" s="210">
        <f t="shared" si="8"/>
        <v>28050</v>
      </c>
    </row>
    <row r="61" spans="1:19" x14ac:dyDescent="0.25">
      <c r="A61" s="20">
        <v>4</v>
      </c>
      <c r="B61" s="12" t="s">
        <v>142</v>
      </c>
      <c r="C61" s="12" t="s">
        <v>34</v>
      </c>
      <c r="D61" s="13" t="s">
        <v>143</v>
      </c>
      <c r="E61" s="14"/>
      <c r="F61" s="14"/>
      <c r="G61" s="14"/>
      <c r="H61" s="14"/>
      <c r="I61" s="207">
        <f t="shared" si="6"/>
        <v>0</v>
      </c>
      <c r="J61" s="14">
        <v>0</v>
      </c>
      <c r="K61" s="14"/>
      <c r="L61" s="14"/>
      <c r="M61" s="227">
        <f t="shared" si="7"/>
        <v>0</v>
      </c>
      <c r="N61" s="27"/>
      <c r="O61" s="125"/>
      <c r="P61" s="214"/>
      <c r="Q61" s="214"/>
      <c r="R61" s="173"/>
      <c r="S61" s="210">
        <f t="shared" si="8"/>
        <v>0</v>
      </c>
    </row>
    <row r="62" spans="1:19" x14ac:dyDescent="0.25">
      <c r="A62" s="20">
        <v>5</v>
      </c>
      <c r="B62" s="12" t="s">
        <v>144</v>
      </c>
      <c r="C62" s="12" t="s">
        <v>16</v>
      </c>
      <c r="D62" s="13" t="s">
        <v>145</v>
      </c>
      <c r="E62" s="14"/>
      <c r="F62" s="14"/>
      <c r="G62" s="14"/>
      <c r="H62" s="14"/>
      <c r="I62" s="207">
        <f t="shared" si="6"/>
        <v>0</v>
      </c>
      <c r="J62" s="14">
        <v>0</v>
      </c>
      <c r="K62" s="14"/>
      <c r="L62" s="14"/>
      <c r="M62" s="227">
        <f t="shared" si="7"/>
        <v>0</v>
      </c>
      <c r="N62" s="27"/>
      <c r="O62" s="125"/>
      <c r="P62" s="214"/>
      <c r="Q62" s="214"/>
      <c r="R62" s="173"/>
      <c r="S62" s="210">
        <f t="shared" si="8"/>
        <v>0</v>
      </c>
    </row>
    <row r="63" spans="1:19" x14ac:dyDescent="0.25">
      <c r="A63" s="2"/>
      <c r="B63" s="2"/>
      <c r="C63" s="2"/>
      <c r="D63" s="53" t="s">
        <v>146</v>
      </c>
      <c r="E63" s="8"/>
      <c r="F63" s="8"/>
      <c r="G63" s="14"/>
      <c r="H63" s="14"/>
      <c r="I63" s="207">
        <f t="shared" si="6"/>
        <v>0</v>
      </c>
      <c r="J63" s="18">
        <f t="shared" ref="J63:R63" si="9">SUM(J58:J62)</f>
        <v>95000</v>
      </c>
      <c r="K63" s="18"/>
      <c r="L63" s="18">
        <f t="shared" si="9"/>
        <v>0</v>
      </c>
      <c r="M63" s="228">
        <f t="shared" si="9"/>
        <v>95000</v>
      </c>
      <c r="N63" s="226">
        <f t="shared" si="9"/>
        <v>0</v>
      </c>
      <c r="O63" s="127">
        <f>SUM(O58:O62)</f>
        <v>1650</v>
      </c>
      <c r="P63" s="215">
        <f>SUM(P58:P62)</f>
        <v>1620</v>
      </c>
      <c r="Q63" s="215">
        <f>SUM(Q58:Q62)</f>
        <v>1980</v>
      </c>
      <c r="R63" s="175">
        <f t="shared" si="9"/>
        <v>600</v>
      </c>
      <c r="S63" s="210">
        <f>SUM(S58:S62)</f>
        <v>89150</v>
      </c>
    </row>
    <row r="64" spans="1:19" x14ac:dyDescent="0.25">
      <c r="A64" s="2" t="s">
        <v>147</v>
      </c>
      <c r="B64" s="20"/>
      <c r="C64" s="20"/>
      <c r="D64" s="13"/>
      <c r="E64" s="14"/>
      <c r="F64" s="14"/>
      <c r="G64" s="14"/>
      <c r="H64" s="14"/>
      <c r="I64" s="207"/>
      <c r="J64" s="14"/>
      <c r="K64" s="14"/>
      <c r="L64" s="14"/>
      <c r="M64" s="227"/>
      <c r="N64" s="27"/>
      <c r="O64" s="125"/>
      <c r="P64" s="214"/>
      <c r="Q64" s="214"/>
      <c r="R64" s="173"/>
      <c r="S64" s="210"/>
    </row>
    <row r="65" spans="1:22" x14ac:dyDescent="0.25">
      <c r="A65" s="20"/>
      <c r="B65" s="20"/>
      <c r="C65" s="20"/>
      <c r="D65" s="20"/>
      <c r="E65" s="15"/>
      <c r="F65" s="15"/>
      <c r="G65" s="14"/>
      <c r="H65" s="14"/>
      <c r="I65" s="207"/>
      <c r="J65" s="20"/>
      <c r="K65" s="20"/>
      <c r="L65" s="20"/>
      <c r="M65" s="229"/>
      <c r="N65" s="222"/>
      <c r="O65" s="125"/>
      <c r="P65" s="216"/>
      <c r="Q65" s="216"/>
      <c r="R65" s="176"/>
      <c r="S65" s="210"/>
      <c r="V65" s="210"/>
    </row>
    <row r="66" spans="1:22" x14ac:dyDescent="0.25">
      <c r="A66" s="20">
        <v>1</v>
      </c>
      <c r="B66" s="12" t="s">
        <v>150</v>
      </c>
      <c r="C66" s="12" t="s">
        <v>27</v>
      </c>
      <c r="D66" s="13" t="s">
        <v>151</v>
      </c>
      <c r="E66" s="14"/>
      <c r="F66" s="14"/>
      <c r="G66" s="14"/>
      <c r="H66" s="14"/>
      <c r="I66" s="207">
        <f>SUM(G66:G66)</f>
        <v>0</v>
      </c>
      <c r="J66" s="14">
        <v>40000</v>
      </c>
      <c r="K66" s="14"/>
      <c r="L66" s="14"/>
      <c r="M66" s="227">
        <f>I66+J66+K66+L66</f>
        <v>40000</v>
      </c>
      <c r="N66" s="27"/>
      <c r="O66" s="125"/>
      <c r="P66" s="214"/>
      <c r="Q66" s="214"/>
      <c r="R66" s="173"/>
      <c r="S66" s="210">
        <f>M66-N66-O66-P66-Q66-R66</f>
        <v>40000</v>
      </c>
    </row>
    <row r="67" spans="1:22" x14ac:dyDescent="0.25">
      <c r="A67" s="20">
        <v>2</v>
      </c>
      <c r="B67" s="12" t="s">
        <v>152</v>
      </c>
      <c r="C67" s="12" t="s">
        <v>27</v>
      </c>
      <c r="D67" s="13" t="s">
        <v>153</v>
      </c>
      <c r="E67" s="14"/>
      <c r="F67" s="14"/>
      <c r="G67" s="14"/>
      <c r="H67" s="14"/>
      <c r="I67" s="207">
        <f>SUM(G67:G67)</f>
        <v>0</v>
      </c>
      <c r="J67" s="14">
        <v>25000</v>
      </c>
      <c r="K67" s="14"/>
      <c r="L67" s="14"/>
      <c r="M67" s="227">
        <f t="shared" ref="M67:M68" si="10">I67+J67+K67+L67</f>
        <v>25000</v>
      </c>
      <c r="N67" s="27"/>
      <c r="O67" s="125"/>
      <c r="P67" s="214"/>
      <c r="Q67" s="214"/>
      <c r="R67" s="173"/>
      <c r="S67" s="210">
        <f t="shared" ref="S67" si="11">M67-N67-O67-P67-Q67-R67</f>
        <v>25000</v>
      </c>
    </row>
    <row r="68" spans="1:22" x14ac:dyDescent="0.25">
      <c r="A68" s="20">
        <v>3</v>
      </c>
      <c r="B68" s="12" t="s">
        <v>154</v>
      </c>
      <c r="C68" s="12" t="s">
        <v>27</v>
      </c>
      <c r="D68" s="13" t="s">
        <v>341</v>
      </c>
      <c r="E68" s="131"/>
      <c r="F68" s="131"/>
      <c r="G68" s="131"/>
      <c r="H68" s="131"/>
      <c r="I68" s="207">
        <f>SUM(G68:G68)</f>
        <v>0</v>
      </c>
      <c r="J68" s="131">
        <v>20000</v>
      </c>
      <c r="K68" s="131"/>
      <c r="L68" s="131"/>
      <c r="M68" s="227">
        <f t="shared" si="10"/>
        <v>20000</v>
      </c>
      <c r="N68" s="185"/>
      <c r="O68" s="124">
        <v>500</v>
      </c>
      <c r="P68" s="214">
        <v>540</v>
      </c>
      <c r="Q68" s="214">
        <v>660</v>
      </c>
      <c r="R68" s="172">
        <v>200</v>
      </c>
      <c r="S68" s="210">
        <f>M68-N68-O68-P68-Q68-R68</f>
        <v>18100</v>
      </c>
    </row>
    <row r="69" spans="1:22" x14ac:dyDescent="0.25">
      <c r="A69" s="2"/>
      <c r="B69" s="2"/>
      <c r="C69" s="2"/>
      <c r="D69" s="53" t="s">
        <v>156</v>
      </c>
      <c r="E69" s="8"/>
      <c r="F69" s="8"/>
      <c r="G69" s="14"/>
      <c r="H69" s="14"/>
      <c r="I69" s="207">
        <f>SUM(G69:G69)</f>
        <v>0</v>
      </c>
      <c r="J69" s="8">
        <f>SUM(J66:J68)</f>
        <v>85000</v>
      </c>
      <c r="K69" s="8"/>
      <c r="L69" s="8">
        <f t="shared" ref="L69:N69" si="12">SUM(L66:L68)</f>
        <v>0</v>
      </c>
      <c r="M69" s="227">
        <f>SUM(M66:M68)</f>
        <v>85000</v>
      </c>
      <c r="N69" s="225">
        <f t="shared" si="12"/>
        <v>0</v>
      </c>
      <c r="O69" s="127">
        <f>SUM(O66:O68)</f>
        <v>500</v>
      </c>
      <c r="P69" s="215">
        <f t="shared" ref="P69:Q69" si="13">SUM(P66:P68)</f>
        <v>540</v>
      </c>
      <c r="Q69" s="215">
        <f t="shared" si="13"/>
        <v>660</v>
      </c>
      <c r="R69" s="174">
        <f>SUM(R66:R68)</f>
        <v>200</v>
      </c>
      <c r="S69" s="210">
        <f>SUM(S66:S68)</f>
        <v>83100</v>
      </c>
    </row>
    <row r="70" spans="1:22" x14ac:dyDescent="0.25">
      <c r="A70" s="2" t="s">
        <v>157</v>
      </c>
      <c r="B70" s="20"/>
      <c r="C70" s="20"/>
      <c r="D70" s="13"/>
      <c r="E70" s="14"/>
      <c r="F70" s="14"/>
      <c r="G70" s="14"/>
      <c r="H70" s="14"/>
      <c r="I70" s="207"/>
      <c r="J70" s="14"/>
      <c r="K70" s="14"/>
      <c r="L70" s="14"/>
      <c r="M70" s="227"/>
      <c r="N70" s="27"/>
      <c r="O70" s="125"/>
      <c r="P70" s="214"/>
      <c r="Q70" s="214"/>
      <c r="R70" s="173"/>
      <c r="S70" s="210"/>
    </row>
    <row r="71" spans="1:22" x14ac:dyDescent="0.25">
      <c r="A71" s="20">
        <v>1</v>
      </c>
      <c r="B71" s="12" t="s">
        <v>276</v>
      </c>
      <c r="C71" s="12" t="s">
        <v>27</v>
      </c>
      <c r="D71" s="13" t="s">
        <v>342</v>
      </c>
      <c r="E71" s="14"/>
      <c r="F71" s="14"/>
      <c r="G71" s="14"/>
      <c r="H71" s="14"/>
      <c r="I71" s="207">
        <f>SUM(E71:H71)</f>
        <v>0</v>
      </c>
      <c r="J71" s="14">
        <v>40000</v>
      </c>
      <c r="K71" s="14"/>
      <c r="L71" s="14">
        <v>0</v>
      </c>
      <c r="M71" s="227">
        <f>J71+I71+K71+L71</f>
        <v>40000</v>
      </c>
      <c r="N71" s="27"/>
      <c r="O71" s="125">
        <v>550</v>
      </c>
      <c r="P71" s="215">
        <v>540</v>
      </c>
      <c r="Q71" s="215">
        <v>660</v>
      </c>
      <c r="R71" s="175">
        <v>200</v>
      </c>
      <c r="S71" s="210">
        <f>M71-N71-O71-P71-Q71-R71</f>
        <v>38050</v>
      </c>
    </row>
    <row r="72" spans="1:22" x14ac:dyDescent="0.25">
      <c r="A72" s="20"/>
      <c r="B72" s="20"/>
      <c r="C72" s="20"/>
      <c r="D72" s="20"/>
      <c r="E72" s="15"/>
      <c r="F72" s="15"/>
      <c r="G72" s="14"/>
      <c r="H72" s="14"/>
      <c r="I72" s="207"/>
      <c r="J72" s="20"/>
      <c r="K72" s="20"/>
      <c r="L72" s="20"/>
      <c r="M72" s="229"/>
      <c r="N72" s="222"/>
      <c r="O72" s="125"/>
      <c r="P72" s="216"/>
      <c r="Q72" s="216"/>
      <c r="R72" s="176"/>
      <c r="S72" s="210"/>
    </row>
    <row r="73" spans="1:22" x14ac:dyDescent="0.25">
      <c r="A73" s="2" t="s">
        <v>229</v>
      </c>
      <c r="B73" s="12"/>
      <c r="C73" s="12"/>
      <c r="D73" s="13"/>
      <c r="E73" s="14"/>
      <c r="F73" s="14"/>
      <c r="G73" s="14"/>
      <c r="H73" s="14"/>
      <c r="I73" s="207"/>
      <c r="J73" s="14"/>
      <c r="K73" s="14"/>
      <c r="L73" s="14"/>
      <c r="M73" s="227"/>
      <c r="N73" s="27"/>
      <c r="O73" s="125"/>
      <c r="P73" s="214"/>
      <c r="Q73" s="214"/>
      <c r="R73" s="173"/>
      <c r="S73" s="210"/>
    </row>
    <row r="74" spans="1:22" x14ac:dyDescent="0.25">
      <c r="A74" s="20">
        <v>1</v>
      </c>
      <c r="B74" s="12" t="s">
        <v>165</v>
      </c>
      <c r="C74" s="12" t="s">
        <v>27</v>
      </c>
      <c r="D74" s="13" t="s">
        <v>166</v>
      </c>
      <c r="E74" s="131"/>
      <c r="F74" s="131"/>
      <c r="G74" s="131"/>
      <c r="H74" s="131"/>
      <c r="I74" s="207">
        <f>SUM(E74:H74)</f>
        <v>0</v>
      </c>
      <c r="J74" s="131">
        <v>40000</v>
      </c>
      <c r="K74" s="131"/>
      <c r="L74" s="131">
        <v>16350</v>
      </c>
      <c r="M74" s="227">
        <f>I74+J74+K74+L74</f>
        <v>56350</v>
      </c>
      <c r="N74" s="185">
        <v>15000</v>
      </c>
      <c r="O74" s="124">
        <v>500</v>
      </c>
      <c r="P74" s="214">
        <v>540</v>
      </c>
      <c r="Q74" s="214">
        <v>550.91</v>
      </c>
      <c r="R74" s="172">
        <v>200</v>
      </c>
      <c r="S74" s="210">
        <f>M74-N74-O74-P74-Q74-R74</f>
        <v>39559.089999999997</v>
      </c>
    </row>
    <row r="75" spans="1:22" x14ac:dyDescent="0.25">
      <c r="A75" s="20">
        <v>2</v>
      </c>
      <c r="B75" s="12" t="s">
        <v>167</v>
      </c>
      <c r="C75" s="64" t="s">
        <v>27</v>
      </c>
      <c r="D75" s="13" t="s">
        <v>169</v>
      </c>
      <c r="E75" s="14"/>
      <c r="F75" s="14"/>
      <c r="G75" s="14"/>
      <c r="H75" s="14"/>
      <c r="I75" s="207">
        <f t="shared" ref="I75:I77" si="14">SUM(E75:H75)</f>
        <v>0</v>
      </c>
      <c r="J75" s="14">
        <v>35000</v>
      </c>
      <c r="K75" s="14"/>
      <c r="L75" s="14">
        <v>5500</v>
      </c>
      <c r="M75" s="227">
        <f t="shared" ref="M75:M77" si="15">I75+J75+K75+L75</f>
        <v>40500</v>
      </c>
      <c r="N75" s="27"/>
      <c r="O75" s="125">
        <v>550</v>
      </c>
      <c r="P75" s="214">
        <v>540</v>
      </c>
      <c r="Q75" s="214">
        <v>660</v>
      </c>
      <c r="R75" s="172">
        <v>200</v>
      </c>
      <c r="S75" s="210">
        <f t="shared" ref="S75:S77" si="16">M75-N75-O75-P75-Q75-R75</f>
        <v>38550</v>
      </c>
    </row>
    <row r="76" spans="1:22" x14ac:dyDescent="0.25">
      <c r="A76" s="20">
        <v>3</v>
      </c>
      <c r="B76" s="12" t="s">
        <v>315</v>
      </c>
      <c r="C76" s="64" t="s">
        <v>27</v>
      </c>
      <c r="D76" s="13" t="s">
        <v>184</v>
      </c>
      <c r="E76" s="14"/>
      <c r="F76" s="14">
        <v>500</v>
      </c>
      <c r="G76" s="14"/>
      <c r="H76" s="14"/>
      <c r="I76" s="207">
        <f t="shared" si="14"/>
        <v>500</v>
      </c>
      <c r="J76" s="14">
        <v>14400</v>
      </c>
      <c r="K76" s="14"/>
      <c r="L76" s="14">
        <v>4630</v>
      </c>
      <c r="M76" s="227">
        <f t="shared" si="15"/>
        <v>19530</v>
      </c>
      <c r="N76" s="27"/>
      <c r="O76" s="125">
        <v>460</v>
      </c>
      <c r="P76" s="214"/>
      <c r="Q76" s="214"/>
      <c r="R76" s="172">
        <v>200</v>
      </c>
      <c r="S76" s="210">
        <f t="shared" si="16"/>
        <v>18870</v>
      </c>
    </row>
    <row r="77" spans="1:22" x14ac:dyDescent="0.25">
      <c r="A77" s="20">
        <v>4</v>
      </c>
      <c r="B77" s="12" t="s">
        <v>171</v>
      </c>
      <c r="C77" s="12" t="s">
        <v>27</v>
      </c>
      <c r="D77" s="13" t="s">
        <v>172</v>
      </c>
      <c r="E77" s="14"/>
      <c r="F77" s="14"/>
      <c r="G77" s="14"/>
      <c r="H77" s="14"/>
      <c r="I77" s="207">
        <f t="shared" si="14"/>
        <v>0</v>
      </c>
      <c r="J77" s="14">
        <v>80000</v>
      </c>
      <c r="K77" s="14"/>
      <c r="L77" s="14">
        <v>11200</v>
      </c>
      <c r="M77" s="227">
        <f t="shared" si="15"/>
        <v>91200</v>
      </c>
      <c r="N77" s="27"/>
      <c r="O77" s="125">
        <v>660</v>
      </c>
      <c r="P77" s="214">
        <v>540</v>
      </c>
      <c r="Q77" s="214">
        <v>900</v>
      </c>
      <c r="R77" s="172">
        <v>200</v>
      </c>
      <c r="S77" s="210">
        <f t="shared" si="16"/>
        <v>88900</v>
      </c>
    </row>
    <row r="78" spans="1:22" x14ac:dyDescent="0.25">
      <c r="A78" s="2"/>
      <c r="B78" s="2"/>
      <c r="C78" s="65"/>
      <c r="D78" s="53" t="s">
        <v>173</v>
      </c>
      <c r="E78" s="8"/>
      <c r="F78" s="8"/>
      <c r="G78" s="14"/>
      <c r="H78" s="14"/>
      <c r="I78" s="206">
        <f>SUM(I74:I77)</f>
        <v>500</v>
      </c>
      <c r="J78" s="8">
        <f t="shared" ref="J78:N78" si="17">SUM(J74:J77)</f>
        <v>169400</v>
      </c>
      <c r="K78" s="8"/>
      <c r="L78" s="8">
        <f t="shared" si="17"/>
        <v>37680</v>
      </c>
      <c r="M78" s="227">
        <f>SUM(M74:M77)</f>
        <v>207580</v>
      </c>
      <c r="N78" s="225">
        <f t="shared" si="17"/>
        <v>15000</v>
      </c>
      <c r="O78" s="127">
        <f>SUM(O74:O77)</f>
        <v>2170</v>
      </c>
      <c r="P78" s="215">
        <f t="shared" ref="P78:Q78" si="18">SUM(P74:P77)</f>
        <v>1620</v>
      </c>
      <c r="Q78" s="215">
        <f t="shared" si="18"/>
        <v>2110.91</v>
      </c>
      <c r="R78" s="174">
        <f>SUM(R74:R77)</f>
        <v>800</v>
      </c>
      <c r="S78" s="210">
        <f>SUM(S74:S77)</f>
        <v>185879.09</v>
      </c>
    </row>
    <row r="79" spans="1:22" x14ac:dyDescent="0.25">
      <c r="A79" s="2"/>
      <c r="B79" s="2"/>
      <c r="C79" s="65"/>
      <c r="D79" s="53"/>
      <c r="E79" s="8"/>
      <c r="F79" s="8"/>
      <c r="G79" s="14"/>
      <c r="H79" s="14"/>
      <c r="I79" s="207"/>
      <c r="J79" s="8"/>
      <c r="K79" s="8"/>
      <c r="L79" s="8"/>
      <c r="M79" s="227"/>
      <c r="N79" s="225"/>
      <c r="O79" s="127"/>
      <c r="P79" s="215"/>
      <c r="Q79" s="215"/>
      <c r="R79" s="175"/>
      <c r="S79" s="210"/>
    </row>
    <row r="80" spans="1:22" x14ac:dyDescent="0.25">
      <c r="A80" s="2"/>
      <c r="B80" s="2"/>
      <c r="C80" s="2"/>
      <c r="D80" s="2" t="s">
        <v>174</v>
      </c>
      <c r="E80" s="8"/>
      <c r="F80" s="8"/>
      <c r="G80" s="14"/>
      <c r="H80" s="14"/>
      <c r="I80" s="206"/>
      <c r="J80" s="8">
        <f>J55+J63+J69+J71+J78</f>
        <v>1817800</v>
      </c>
      <c r="K80" s="8"/>
      <c r="L80" s="8">
        <f>L55+L63+L69+L71+L78</f>
        <v>384630</v>
      </c>
      <c r="M80" s="227">
        <f>M55+M63+M69+M71+M78</f>
        <v>2346430</v>
      </c>
      <c r="N80" s="225">
        <f>N55+N63+N69+N71+N78</f>
        <v>20000</v>
      </c>
      <c r="O80" s="127">
        <f>O55+O63+O69+O71+O78</f>
        <v>32043.75</v>
      </c>
      <c r="P80" s="215">
        <f t="shared" ref="P80:Q80" si="19">P55+P63+P69+P71+P78</f>
        <v>20520</v>
      </c>
      <c r="Q80" s="215">
        <f t="shared" si="19"/>
        <v>25000.91</v>
      </c>
      <c r="R80" s="175">
        <f>R78+R71+R69+R63+R55</f>
        <v>11600</v>
      </c>
      <c r="S80" s="210">
        <f>S55+S63+S69+S71+S78</f>
        <v>2237265.34</v>
      </c>
    </row>
  </sheetData>
  <mergeCells count="6">
    <mergeCell ref="N2:R2"/>
    <mergeCell ref="S3:S4"/>
    <mergeCell ref="P3:Q3"/>
    <mergeCell ref="E3:H3"/>
    <mergeCell ref="M2:M4"/>
    <mergeCell ref="K2:L3"/>
  </mergeCells>
  <phoneticPr fontId="13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 2026</vt:lpstr>
      <vt:lpstr>FEB 2026</vt:lpstr>
      <vt:lpstr>MARCH2026</vt:lpstr>
      <vt:lpstr>APRIL2026</vt:lpstr>
      <vt:lpstr>MAY2026</vt:lpstr>
      <vt:lpstr>JUNE 2026</vt:lpstr>
      <vt:lpstr>JULY 2026</vt:lpstr>
      <vt:lpstr>AUGUST 2026</vt:lpstr>
      <vt:lpstr>SEPTEMBER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2026-10-09T10:08:57Z</cp:lastPrinted>
  <dcterms:created xsi:type="dcterms:W3CDTF">2026-01-26T09:56:45Z</dcterms:created>
  <dcterms:modified xsi:type="dcterms:W3CDTF">2026-10-12T10:31:36Z</dcterms:modified>
</cp:coreProperties>
</file>